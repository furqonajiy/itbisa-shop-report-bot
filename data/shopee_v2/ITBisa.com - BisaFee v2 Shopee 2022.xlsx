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emf" ContentType="image/x-emf"/>
  <Default Extension="emz" ContentType="image/x-emz"/>
  <Default Extension="wmz" ContentType="image/x-wmz"/>
  <Default Extension="jpeg" ContentType="image/jpeg"/>
  <Default Extension="png" ContentType="image/png"/>
  <Default Extension="gif" ContentType="image/gif"/>
  <Default Extension="svg" ContentType="image/svg"/>
  <Default Extension="tiff" ContentType="image/tiff"/>
  <Default Extension="wmf" ContentType="image/x-wmf"/>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Income" sheetId="2" r:id="rId2" state="visible"/>
    <sheet name="Free Returns Fee Details" sheetId="3" r:id="rId3" state="visible"/>
  </sheets>
  <definedNames/>
  <calcPr iterateCount="100" iterateDelta="0.001" refMode="A1"/>
</workbook>
</file>

<file path=xl/sharedStrings.xml><?xml version="1.0" encoding="utf-8"?>
<sst xmlns="http://schemas.openxmlformats.org/spreadsheetml/2006/main" count="188" uniqueCount="188">
  <si>
    <t>Laporan Penghasilan</t>
  </si>
  <si>
    <t>Rincian Laporan</t>
  </si>
  <si>
    <t>Username (Penjual)</t>
  </si>
  <si>
    <t>itbisa</t>
  </si>
  <si>
    <t>Dari</t>
  </si>
  <si>
    <t>2022-01-01</t>
  </si>
  <si>
    <t>ke</t>
  </si>
  <si>
    <t>2022-12-31</t>
  </si>
  <si>
    <t>Ringkasan Penghasilan</t>
  </si>
  <si>
    <t>Rp</t>
  </si>
  <si>
    <t>1. Total Pendapatan</t>
  </si>
  <si>
    <t>Total Produk</t>
  </si>
  <si>
    <t>Harga Asli Produk</t>
  </si>
  <si>
    <t>Total Diskon Produk</t>
  </si>
  <si>
    <t>Jumlah Pengembalian Dana ke Pembeli</t>
  </si>
  <si>
    <t>Voucher &amp; Subsidi Shopee</t>
  </si>
  <si>
    <t>Diskon Produk dari Shopee</t>
  </si>
  <si>
    <t>Diskon Voucher Ditanggung Penjual</t>
  </si>
  <si>
    <t>Cashback Koin yang Ditanggung Penjual</t>
  </si>
  <si>
    <t>2. Total Pengeluaran</t>
  </si>
  <si>
    <t>Total Biaya Pengiriman</t>
  </si>
  <si>
    <t>Ongkir Dibayar Pembeli</t>
  </si>
  <si>
    <t>Diskon Ongkir Ditanggung Jasa Kirim</t>
  </si>
  <si>
    <t>Gratis Ongkir dari Shopee</t>
  </si>
  <si>
    <t>Ongkir yang Diteruskan oleh Shopee ke Jasa Kirim</t>
  </si>
  <si>
    <t>Ongkos Kirim Pengembalian Barang</t>
  </si>
  <si>
    <t>Biaya Admin &amp; Layanan</t>
  </si>
  <si>
    <t>AMS Commission Fee</t>
  </si>
  <si>
    <t>Biaya Administrasi</t>
  </si>
  <si>
    <t>Biaya Layanan (termasuk PPN 11%)</t>
  </si>
  <si>
    <t>Premium</t>
  </si>
  <si>
    <t>Biaya Transaksi</t>
  </si>
  <si>
    <t>Biaya Kampanye</t>
  </si>
  <si>
    <t>Bea Masuk, PPN &amp; PPh</t>
  </si>
  <si>
    <t>3. Total yang Dilepas</t>
  </si>
  <si>
    <t>Nilai Lainnya</t>
  </si>
  <si>
    <t>Promo Gratis Ongkir dari Penjual</t>
  </si>
  <si>
    <t>total(Rp)</t>
  </si>
  <si>
    <t>No.</t>
  </si>
  <si>
    <t>No. Pesanan</t>
  </si>
  <si>
    <t>No. Pengajuan</t>
  </si>
  <si>
    <t>Username (Pembeli)</t>
  </si>
  <si>
    <t>Waktu Pesanan Dibuat</t>
  </si>
  <si>
    <t>Metode pembayaran pembeli</t>
  </si>
  <si>
    <t>Tanggal Dana Dilepaskan</t>
  </si>
  <si>
    <t>Total Penghasilan</t>
  </si>
  <si>
    <t>Kode Voucher</t>
  </si>
  <si>
    <t>Kompensasi</t>
  </si>
  <si>
    <t>Jasa Kirim</t>
  </si>
  <si>
    <t>Nama Kurir</t>
  </si>
  <si>
    <t>Pengembalian Dana ke Pembeli</t>
  </si>
  <si>
    <t>Pro-rata Koin yang Ditukarkan untuk Pengembalian Barang</t>
  </si>
  <si>
    <t>Pro-rata Voucher Shopee untuk Pengembalian Barang</t>
  </si>
  <si>
    <t>2211059JP7J42Q</t>
  </si>
  <si>
    <t>mijkel</t>
  </si>
  <si>
    <t>2022-11-05</t>
  </si>
  <si>
    <t>ShopeePay</t>
  </si>
  <si>
    <t>Instant</t>
  </si>
  <si>
    <t>GrabExpress Instant</t>
  </si>
  <si>
    <t>221106BP22HVY2</t>
  </si>
  <si>
    <t>ides13</t>
  </si>
  <si>
    <t>2022-11-06</t>
  </si>
  <si>
    <t>221106CYWT20CY</t>
  </si>
  <si>
    <t>elnisa7</t>
  </si>
  <si>
    <t>2022-11-09</t>
  </si>
  <si>
    <t>Kargo</t>
  </si>
  <si>
    <t>JNE Trucking (JTR)</t>
  </si>
  <si>
    <t>221107FJMB2RKD</t>
  </si>
  <si>
    <t>yodinugroho</t>
  </si>
  <si>
    <t>2022-11-07</t>
  </si>
  <si>
    <t>2022-11-11</t>
  </si>
  <si>
    <t>221108GB0UUPQJ</t>
  </si>
  <si>
    <t>caridi1234</t>
  </si>
  <si>
    <t>2022-11-08</t>
  </si>
  <si>
    <t>COD (Bayar di Tempat)</t>
  </si>
  <si>
    <t>2022-11-13</t>
  </si>
  <si>
    <t>Reguler</t>
  </si>
  <si>
    <t>J&amp;T Express</t>
  </si>
  <si>
    <t>221118DR16UYD4</t>
  </si>
  <si>
    <t>alqanury</t>
  </si>
  <si>
    <t>2022-11-18</t>
  </si>
  <si>
    <t>2022-11-23</t>
  </si>
  <si>
    <t>Hemat</t>
  </si>
  <si>
    <t>Anteraja Economy</t>
  </si>
  <si>
    <t>221129AQC0626U</t>
  </si>
  <si>
    <t>autocads008</t>
  </si>
  <si>
    <t>2022-11-29</t>
  </si>
  <si>
    <t>2022-11-30</t>
  </si>
  <si>
    <t>22112891VQ79MH</t>
  </si>
  <si>
    <t>nita122022</t>
  </si>
  <si>
    <t>2022-11-28</t>
  </si>
  <si>
    <t>Online Payment</t>
  </si>
  <si>
    <t>2022-12-04</t>
  </si>
  <si>
    <t>ID Express</t>
  </si>
  <si>
    <t>2211277BAJBCGS</t>
  </si>
  <si>
    <t>_fadliedinata</t>
  </si>
  <si>
    <t>2022-11-27</t>
  </si>
  <si>
    <t>2022-12-05</t>
  </si>
  <si>
    <t>J&amp;T Economy</t>
  </si>
  <si>
    <t>221204RSRQH2HS</t>
  </si>
  <si>
    <t>sanusiotomo</t>
  </si>
  <si>
    <t>2022-12-09</t>
  </si>
  <si>
    <t>22120737F1EQ4V</t>
  </si>
  <si>
    <t>avmov</t>
  </si>
  <si>
    <t>2022-12-07</t>
  </si>
  <si>
    <t>2022-12-10</t>
  </si>
  <si>
    <t>2212097P7WFJYB</t>
  </si>
  <si>
    <t>unrnoviaa</t>
  </si>
  <si>
    <t>2022-12-11</t>
  </si>
  <si>
    <t>2212060TVW1F2C</t>
  </si>
  <si>
    <t>ichaa.pk</t>
  </si>
  <si>
    <t>2022-12-06</t>
  </si>
  <si>
    <t>22120855P2FDUE</t>
  </si>
  <si>
    <t>astrialfiani17</t>
  </si>
  <si>
    <t>2022-12-08</t>
  </si>
  <si>
    <t>2022-12-12</t>
  </si>
  <si>
    <t>SiCepat REG</t>
  </si>
  <si>
    <t>2212085A01227W</t>
  </si>
  <si>
    <t>tsabitayamnaa</t>
  </si>
  <si>
    <t>22120979TJYJF8</t>
  </si>
  <si>
    <t>farel1720</t>
  </si>
  <si>
    <t>2022-12-13</t>
  </si>
  <si>
    <t>221212DYF40B6B</t>
  </si>
  <si>
    <t>defiii</t>
  </si>
  <si>
    <t>2022-12-14</t>
  </si>
  <si>
    <t>2212085GT5YJC0</t>
  </si>
  <si>
    <t>taufiq.rizki0112</t>
  </si>
  <si>
    <t>SiCepat Halu</t>
  </si>
  <si>
    <t>2212084RFM51JJ</t>
  </si>
  <si>
    <t>yuotian</t>
  </si>
  <si>
    <t>2212072S0N6J7J</t>
  </si>
  <si>
    <t>dwirahmaputria</t>
  </si>
  <si>
    <t>2212096B70N8QG</t>
  </si>
  <si>
    <t>nknwjy2612</t>
  </si>
  <si>
    <t>221212F622BHVS</t>
  </si>
  <si>
    <t>fasacahya</t>
  </si>
  <si>
    <t>2022-12-15</t>
  </si>
  <si>
    <t>221212G3T7CE7U</t>
  </si>
  <si>
    <t>riki92sonjaya</t>
  </si>
  <si>
    <t>221212DVRHM57S</t>
  </si>
  <si>
    <t>abil12abil</t>
  </si>
  <si>
    <t>2212097XQ3S0EY</t>
  </si>
  <si>
    <t>yusufblora</t>
  </si>
  <si>
    <t>221213H69SXB73</t>
  </si>
  <si>
    <t>wenakusumaa</t>
  </si>
  <si>
    <t>2022-12-16</t>
  </si>
  <si>
    <t>221211B9N0S90M</t>
  </si>
  <si>
    <t>shaula_267</t>
  </si>
  <si>
    <t>2022-12-18</t>
  </si>
  <si>
    <t>221215Q76TG3AH</t>
  </si>
  <si>
    <t>fidyaati81</t>
  </si>
  <si>
    <t>2022-12-19</t>
  </si>
  <si>
    <t>Anteraja Reguler</t>
  </si>
  <si>
    <t>221214MGKSTYN0</t>
  </si>
  <si>
    <t>mhdrifan</t>
  </si>
  <si>
    <t>Indomaret/i.Saku</t>
  </si>
  <si>
    <t>221212G28A1U7N</t>
  </si>
  <si>
    <t>sohanah432</t>
  </si>
  <si>
    <t>2211252B4BS2EH</t>
  </si>
  <si>
    <t>rndelektrick</t>
  </si>
  <si>
    <t>2022-11-25</t>
  </si>
  <si>
    <t>2022-12-20</t>
  </si>
  <si>
    <t>221212G514T2SR</t>
  </si>
  <si>
    <t>omakdzahwan</t>
  </si>
  <si>
    <t>221213HV2D3QN2</t>
  </si>
  <si>
    <t>rafiandha25</t>
  </si>
  <si>
    <t>221213J1VCY3W9</t>
  </si>
  <si>
    <t>wawanhadiprabowo</t>
  </si>
  <si>
    <t>221214M1JY6EQT</t>
  </si>
  <si>
    <t>lastriepunyamimpi</t>
  </si>
  <si>
    <t>2022-12-21</t>
  </si>
  <si>
    <t>2212182669JGDU</t>
  </si>
  <si>
    <t>dx_x432e16</t>
  </si>
  <si>
    <t>2022-12-22</t>
  </si>
  <si>
    <t>221222CAQ30DYE</t>
  </si>
  <si>
    <t>indraperdanayusuf</t>
  </si>
  <si>
    <t>2022-12-26</t>
  </si>
  <si>
    <t>221222BUNNAY5T</t>
  </si>
  <si>
    <t>iyaniand139</t>
  </si>
  <si>
    <t>2022-12-27</t>
  </si>
  <si>
    <t>221224H80SCXCD</t>
  </si>
  <si>
    <t>bxqbj2ofip</t>
  </si>
  <si>
    <t>2022-12-24</t>
  </si>
  <si>
    <t>2022-12-28</t>
  </si>
  <si>
    <t>221227QETPAMTQ</t>
  </si>
  <si>
    <t>montir.santri.elecktronik</t>
  </si>
  <si>
    <t>2022-12-29</t>
  </si>
  <si>
    <t>Seller Protection Fee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</si>
</sst>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2"/>
      <color rgb="FF000000"/>
      <name val="Arial"/>
      <family val="2"/>
      <charset val="0"/>
    </font>
    <font>
      <sz val="10"/>
      <name val="Arial"/>
      <family val="0"/>
      <charset val="0"/>
    </font>
    <font>
      <b val="1"/>
      <sz val="15"/>
      <color rgb="FF000000"/>
      <name val="Arial"/>
      <family val="2"/>
      <charset val="0"/>
    </font>
    <font>
      <b val="1"/>
      <sz val="14"/>
      <color rgb="FF000000"/>
      <name val="Arial"/>
      <family val="2"/>
      <charset val="0"/>
    </font>
    <font>
      <sz val="14"/>
      <color rgb="FF000000"/>
      <name val="Arial"/>
      <family val="2"/>
      <charset val="0"/>
    </font>
    <font>
      <sz val="10"/>
      <color rgb="FF000000"/>
      <name val="Arial"/>
      <family val="2"/>
      <charset val="0"/>
    </font>
    <font>
      <b val="1"/>
      <sz val="10"/>
      <color rgb="FFFF0000"/>
      <name val="Arial"/>
      <family val="2"/>
      <charset val="0"/>
    </font>
    <font>
      <sz val="10"/>
      <color rgb="FF000000"/>
      <name val="等线"/>
      <family val="2"/>
      <charset val="0"/>
    </font>
    <font>
      <b val="1"/>
      <sz val="12"/>
      <color rgb="FF000000"/>
      <name val="Arial"/>
      <family val="2"/>
      <charset val="0"/>
    </font>
    <font>
      <sz val="11"/>
      <color rgb="FF000000"/>
      <name val="Arial"/>
      <family val="2"/>
      <charset val="0"/>
    </font>
    <font>
      <b val="1"/>
      <sz val="10"/>
      <color rgb="FF000000"/>
      <name val="Arial"/>
      <family val="2"/>
      <charset val="0"/>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3">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s>
  <cellXfs count="19">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0" borderId="1" xfId="0" applyNumberFormat="false" applyFont="true" applyFill="false" applyBorder="false" applyAlignment="true" applyProtection="false">
      <alignment horizontal="left" vertical="bottom"/>
    </xf>
    <xf numFmtId="0" fontId="5" fillId="8" borderId="1" xfId="0" applyNumberFormat="false" applyFont="true" applyFill="true" applyBorder="false" applyAlignment="true" applyProtection="false">
      <alignment horizontal="center"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xl/sharedStrings.xml" Type="http://schemas.openxmlformats.org/officeDocument/2006/relationships/sharedStrings"></Relationship><Relationship Id="rId5" Target="theme/theme1.xml" Type="http://schemas.openxmlformats.org/officeDocument/2006/relationships/theme"></Relationship><Relationship Id="rId6"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0</xdr:colOff>
      <xdr:row>0</xdr:row>
      <xdr:rowOff>0</xdr:rowOff>
    </xdr:from>
    <xdr:to>
      <xdr:col>0</xdr:col>
      <xdr:colOff>1123950</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Design">
  <themeElements>
    <clrScheme name="Office">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Arial"/>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86"/>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c r="A2" s="4" t="s"/>
      <c r="B2" s="4" t="s"/>
      <c r="C2" s="4" t="s"/>
      <c r="D2" s="4" t="s"/>
    </row>
    <row r="3">
      <c r="A3" s="4" t="s"/>
      <c r="B3" s="4" t="s"/>
      <c r="C3" s="4" t="s"/>
      <c r="D3" s="4" t="s"/>
    </row>
    <row r="4">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c r="A9" s="8" t="s"/>
      <c r="B9" s="9" t="s"/>
      <c r="C9" s="9" t="s"/>
      <c r="D9" s="9" t="s"/>
    </row>
    <row r="10" ht="18" customHeight="true">
      <c r="A10" s="10" t="s">
        <v>8</v>
      </c>
      <c r="B10" s="10" t="s"/>
      <c r="C10" s="10" t="s"/>
      <c r="D10" s="10" t="s">
        <v>9</v>
      </c>
    </row>
    <row r="11">
      <c r="A11" s="11" t="s">
        <v>10</v>
      </c>
      <c r="B11" s="11" t="s"/>
      <c r="C11" s="11" t="s"/>
      <c r="D11" s="11">
        <v>5705800</v>
      </c>
    </row>
    <row r="12">
      <c r="A12" s="12" t="s">
        <v>11</v>
      </c>
      <c r="B12" s="12" t="s"/>
      <c r="C12" s="12" t="s"/>
      <c r="D12" s="12">
        <v>5705800</v>
      </c>
    </row>
    <row r="13">
      <c r="A13" s="13" t="s"/>
      <c r="B13" s="13" t="s">
        <v>12</v>
      </c>
      <c r="C13" s="13">
        <v>6205800</v>
      </c>
      <c r="D13" s="13" t="s"/>
    </row>
    <row r="14">
      <c r="A14" s="13" t="s"/>
      <c r="B14" s="13" t="s">
        <v>13</v>
      </c>
      <c r="C14" s="13">
        <v>-500000</v>
      </c>
      <c r="D14" s="13" t="s"/>
    </row>
    <row r="15">
      <c r="A15" s="13" t="s"/>
      <c r="B15" s="13" t="s">
        <v>14</v>
      </c>
      <c r="C15" s="13">
        <v>0</v>
      </c>
      <c r="D15" s="13" t="s"/>
    </row>
    <row r="16">
      <c r="A16" s="13" t="s"/>
      <c r="B16" s="13" t="s"/>
      <c r="C16" s="13" t="s"/>
      <c r="D16" s="13" t="s"/>
    </row>
    <row r="17">
      <c r="A17" s="12" t="s">
        <v>15</v>
      </c>
      <c r="B17" s="12" t="s"/>
      <c r="C17" s="12" t="s"/>
      <c r="D17" s="12">
        <v>0</v>
      </c>
    </row>
    <row r="18">
      <c r="A18" s="13" t="s"/>
      <c r="B18" s="13" t="s">
        <v>16</v>
      </c>
      <c r="C18" s="13">
        <v>0</v>
      </c>
      <c r="D18" s="13" t="s"/>
    </row>
    <row r="19">
      <c r="A19" s="13" t="s"/>
      <c r="B19" s="13" t="s">
        <v>17</v>
      </c>
      <c r="C19" s="13">
        <v>0</v>
      </c>
      <c r="D19" s="13" t="s"/>
    </row>
    <row r="20">
      <c r="A20" s="13" t="s"/>
      <c r="B20" s="13" t="s">
        <v>18</v>
      </c>
      <c r="C20" s="13">
        <v>0</v>
      </c>
      <c r="D20" s="13" t="s"/>
    </row>
    <row r="21">
      <c r="A21" s="2" t="s"/>
      <c r="B21" s="13" t="s"/>
      <c r="C21" s="13" t="s"/>
      <c r="D21" s="13" t="s"/>
    </row>
    <row r="22">
      <c r="A22" s="11" t="s">
        <v>19</v>
      </c>
      <c r="B22" s="11" t="s"/>
      <c r="C22" s="11" t="s"/>
      <c r="D22" s="11">
        <v>-18491</v>
      </c>
    </row>
    <row r="23">
      <c r="A23" s="12" t="s">
        <v>20</v>
      </c>
      <c r="B23" s="12" t="s"/>
      <c r="C23" s="12" t="s"/>
      <c r="D23" s="12">
        <v>0</v>
      </c>
    </row>
    <row r="24">
      <c r="A24" s="13" t="s"/>
      <c r="B24" s="13" t="s">
        <v>21</v>
      </c>
      <c r="C24" s="13">
        <v>407000</v>
      </c>
      <c r="D24" s="13" t="s"/>
    </row>
    <row r="25">
      <c r="A25" s="13" t="s"/>
      <c r="B25" s="13" t="s">
        <v>22</v>
      </c>
      <c r="C25" s="13">
        <v>0</v>
      </c>
      <c r="D25" s="13" t="s"/>
    </row>
    <row r="26">
      <c r="A26" s="13" t="s"/>
      <c r="B26" s="13" t="s">
        <v>23</v>
      </c>
      <c r="C26" s="13">
        <v>390500</v>
      </c>
      <c r="D26" s="13" t="s"/>
    </row>
    <row r="27">
      <c r="A27" s="13" t="s"/>
      <c r="B27" s="13" t="s">
        <v>24</v>
      </c>
      <c r="C27" s="13">
        <v>-797500</v>
      </c>
      <c r="D27" s="13" t="s"/>
    </row>
    <row r="28">
      <c r="A28" s="13" t="s"/>
      <c r="B28" s="13" t="s">
        <v>25</v>
      </c>
      <c r="C28" s="13">
        <v>0</v>
      </c>
      <c r="D28" s="13" t="s"/>
    </row>
    <row r="29">
      <c r="A29" s="13" t="s"/>
      <c r="B29" s="13" t="s"/>
      <c r="C29" s="13" t="s"/>
      <c r="D29" s="13" t="s"/>
    </row>
    <row r="30">
      <c r="A30" s="12" t="s">
        <v>26</v>
      </c>
      <c r="B30" s="12" t="s"/>
      <c r="C30" s="12" t="s"/>
      <c r="D30" s="12">
        <v>-18491</v>
      </c>
    </row>
    <row r="31">
      <c r="A31" s="13" t="s"/>
      <c r="B31" s="13" t="s">
        <v>27</v>
      </c>
      <c r="C31" s="13">
        <v>0</v>
      </c>
      <c r="D31" s="13" t="s"/>
    </row>
    <row r="32">
      <c r="A32" s="13" t="s"/>
      <c r="B32" s="13" t="s">
        <v>28</v>
      </c>
      <c r="C32" s="13">
        <v>-18491</v>
      </c>
      <c r="D32" s="13" t="s"/>
    </row>
    <row r="33">
      <c r="A33" s="13" t="s"/>
      <c r="B33" s="13" t="s">
        <v>29</v>
      </c>
      <c r="C33" s="13">
        <v>0</v>
      </c>
      <c r="D33" s="13" t="s"/>
    </row>
    <row r="34">
      <c r="A34" s="13" t="s"/>
      <c r="B34" s="13" t="s">
        <v>30</v>
      </c>
      <c r="C34" s="13">
        <v>0</v>
      </c>
      <c r="D34" s="13" t="s"/>
    </row>
    <row r="35">
      <c r="A35" s="13" t="s"/>
      <c r="B35" s="13" t="s">
        <v>31</v>
      </c>
      <c r="C35" s="13">
        <v>0</v>
      </c>
      <c r="D35" s="13" t="s"/>
    </row>
    <row r="36">
      <c r="A36" s="13" t="s"/>
      <c r="B36" s="13" t="s">
        <v>32</v>
      </c>
      <c r="C36" s="13">
        <v>0</v>
      </c>
      <c r="D36" s="13" t="s"/>
    </row>
    <row r="37">
      <c r="A37" s="13" t="s"/>
      <c r="B37" s="13" t="s">
        <v>33</v>
      </c>
      <c r="C37" s="13">
        <v>0</v>
      </c>
      <c r="D37" s="13" t="s"/>
    </row>
    <row r="38">
      <c r="A38" s="2" t="s"/>
      <c r="B38" s="13" t="s"/>
      <c r="C38" s="13" t="s"/>
      <c r="D38" s="13" t="s"/>
    </row>
    <row r="40">
      <c r="A40" s="14" t="s">
        <v>34</v>
      </c>
      <c r="B40" s="14" t="s"/>
      <c r="C40" s="14" t="s"/>
      <c r="D40" s="14">
        <v>5687309</v>
      </c>
    </row>
    <row r="41">
      <c r="A41" s="1" t="s"/>
      <c r="B41" s="2" t="s"/>
      <c r="C41" s="2" t="s"/>
      <c r="D41" s="2" t="s"/>
    </row>
    <row r="42">
      <c r="A42" s="14" t="s">
        <v>35</v>
      </c>
      <c r="B42" s="14" t="s"/>
      <c r="C42" s="14" t="s"/>
      <c r="D42" s="14" t="s"/>
    </row>
    <row r="43">
      <c r="A43" s="15" t="s">
        <v>36</v>
      </c>
      <c r="B43" s="15" t="s"/>
      <c r="C43" s="15" t="s"/>
      <c r="D43" s="15">
        <v>0</v>
      </c>
    </row>
    <row r="44" ht="13" customHeight="true">
      <c r="A44" s="16" t="s"/>
      <c r="B44" s="2" t="s"/>
      <c r="C44" s="2" t="s"/>
      <c r="D44" s="2" t="s"/>
    </row>
    <row r="45">
      <c r="A45" s="13" t="s"/>
      <c r="B45" s="16" t="s"/>
      <c r="C45" s="16" t="s"/>
      <c r="D45" s="16" t="s"/>
    </row>
    <row r="46">
      <c r="A46" s="16" t="s"/>
      <c r="B46" s="13" t="s"/>
      <c r="C46" s="13" t="s"/>
      <c r="D46" s="13" t="s"/>
    </row>
    <row r="47">
      <c r="A47" s="13" t="s"/>
      <c r="B47" s="13" t="s"/>
      <c r="C47" s="13" t="s"/>
      <c r="D47" s="13" t="s"/>
    </row>
    <row r="48">
      <c r="A48" s="13" t="s"/>
      <c r="B48" s="13" t="s"/>
      <c r="C48" s="13" t="s"/>
      <c r="D48" s="13" t="s"/>
    </row>
    <row r="49">
      <c r="A49" s="13" t="s"/>
      <c r="B49" s="13" t="s"/>
      <c r="C49" s="13" t="s"/>
      <c r="D49" s="13" t="s"/>
    </row>
    <row r="50">
      <c r="A50" s="13" t="s"/>
      <c r="B50" s="13" t="s"/>
      <c r="C50" s="13" t="s"/>
      <c r="D50" s="13" t="s"/>
    </row>
    <row r="51">
      <c r="A51" s="13" t="s"/>
      <c r="B51" s="13" t="s"/>
      <c r="C51" s="13" t="s"/>
      <c r="D51" s="13" t="s"/>
    </row>
    <row r="52">
      <c r="A52" s="13" t="s"/>
      <c r="B52" s="13" t="s"/>
      <c r="C52" s="13" t="s"/>
      <c r="D52" s="13" t="s"/>
    </row>
    <row r="53">
      <c r="A53" s="13" t="s"/>
      <c r="B53" s="13" t="s"/>
      <c r="C53" s="13" t="s"/>
      <c r="D53" s="13" t="s"/>
    </row>
    <row r="54">
      <c r="A54" s="13" t="s"/>
      <c r="B54" s="13" t="s"/>
      <c r="C54" s="13" t="s"/>
      <c r="D54" s="13" t="s"/>
    </row>
    <row r="55">
      <c r="A55" s="13" t="s"/>
      <c r="B55" s="13" t="s"/>
      <c r="C55" s="13" t="s"/>
      <c r="D55" s="13" t="s"/>
    </row>
    <row r="56">
      <c r="A56" s="13" t="s"/>
      <c r="B56" s="13" t="s"/>
      <c r="C56" s="13" t="s"/>
      <c r="D56" s="13" t="s"/>
    </row>
    <row r="57">
      <c r="A57" s="13" t="s"/>
      <c r="B57" s="16" t="s"/>
      <c r="C57" s="16" t="s"/>
      <c r="D57" s="16" t="s"/>
    </row>
    <row r="58">
      <c r="A58" s="16" t="s"/>
      <c r="B58" s="13" t="s"/>
      <c r="C58" s="13" t="s"/>
      <c r="D58" s="13" t="s"/>
    </row>
    <row r="59">
      <c r="A59" s="13" t="s"/>
      <c r="B59" s="13" t="s"/>
      <c r="C59" s="13" t="s"/>
      <c r="D59" s="13" t="s"/>
    </row>
    <row r="60">
      <c r="A60" s="13" t="s"/>
      <c r="B60" s="13" t="s"/>
      <c r="C60" s="13" t="s"/>
      <c r="D60" s="13" t="s"/>
    </row>
    <row r="61">
      <c r="A61" s="13" t="s"/>
      <c r="B61" s="16" t="s"/>
      <c r="C61" s="16" t="s"/>
      <c r="D61" s="13" t="s"/>
    </row>
    <row r="62">
      <c r="A62" s="16" t="s"/>
      <c r="B62" s="16" t="s"/>
      <c r="C62" s="16" t="s"/>
      <c r="D62" s="16" t="s"/>
    </row>
    <row r="63">
      <c r="A63" s="16" t="s"/>
      <c r="B63" s="13" t="s"/>
      <c r="C63" s="13" t="s"/>
      <c r="D63" s="13" t="s"/>
    </row>
    <row r="64">
      <c r="A64" s="13" t="s"/>
      <c r="B64" s="13" t="s"/>
      <c r="C64" s="13" t="s"/>
      <c r="D64" s="13" t="s"/>
    </row>
    <row r="65">
      <c r="A65" s="13" t="s"/>
      <c r="B65" s="13" t="s"/>
      <c r="C65" s="13" t="s"/>
      <c r="D65" s="13" t="s"/>
    </row>
    <row r="66">
      <c r="A66" s="13" t="s"/>
      <c r="B66" s="13" t="s"/>
      <c r="C66" s="13" t="s"/>
      <c r="D66" s="13" t="s"/>
    </row>
    <row r="67">
      <c r="A67" s="13" t="s"/>
      <c r="B67" s="16" t="s"/>
      <c r="C67" s="16" t="s"/>
      <c r="D67" s="16" t="s"/>
    </row>
    <row r="68">
      <c r="A68" s="16" t="s"/>
      <c r="B68" s="13" t="s"/>
      <c r="C68" s="13" t="s"/>
      <c r="D68" s="13" t="s"/>
    </row>
    <row r="69">
      <c r="A69" s="13" t="s"/>
      <c r="B69" s="13" t="s"/>
      <c r="C69" s="13" t="s"/>
      <c r="D69" s="13" t="s"/>
    </row>
    <row r="70">
      <c r="A70" s="13" t="s"/>
      <c r="B70" s="13" t="s"/>
      <c r="C70" s="13" t="s"/>
      <c r="D70" s="13" t="s"/>
    </row>
    <row r="71">
      <c r="A71" s="13" t="s"/>
      <c r="B71" s="13" t="s"/>
      <c r="C71" s="13" t="s"/>
      <c r="D71" s="13" t="s"/>
    </row>
    <row r="72">
      <c r="A72" s="13" t="s"/>
      <c r="B72" s="16" t="s"/>
      <c r="C72" s="16" t="s"/>
      <c r="D72" s="16" t="s"/>
    </row>
    <row r="73">
      <c r="A73" s="16" t="s"/>
      <c r="B73" s="13" t="s"/>
      <c r="C73" s="13" t="s"/>
      <c r="D73" s="13" t="s"/>
    </row>
    <row r="74">
      <c r="A74" s="13" t="s"/>
      <c r="B74" s="13" t="s"/>
      <c r="C74" s="13" t="s"/>
      <c r="D74" s="13" t="s"/>
    </row>
    <row r="75">
      <c r="A75" s="13" t="s"/>
      <c r="B75" s="13" t="s"/>
      <c r="C75" s="13" t="s"/>
      <c r="D75" s="13" t="s"/>
    </row>
    <row r="76">
      <c r="A76" s="13" t="s"/>
      <c r="B76" s="16" t="s"/>
      <c r="C76" s="16" t="s"/>
      <c r="D76" s="16" t="s"/>
    </row>
    <row r="77">
      <c r="A77" s="16" t="s"/>
      <c r="B77" s="13" t="s"/>
      <c r="C77" s="13" t="s"/>
      <c r="D77" s="13" t="s"/>
    </row>
    <row r="78">
      <c r="A78" s="13" t="s"/>
      <c r="B78" s="16" t="s"/>
      <c r="C78" s="16" t="s"/>
      <c r="D78" s="16" t="s"/>
    </row>
    <row r="79">
      <c r="A79" s="16" t="s"/>
      <c r="B79" s="13" t="s"/>
      <c r="C79" s="13" t="s"/>
      <c r="D79" s="13" t="s"/>
    </row>
    <row r="80">
      <c r="A80" s="13" t="s"/>
      <c r="B80" s="16" t="s"/>
      <c r="C80" s="16" t="s"/>
      <c r="D80" s="16" t="s"/>
    </row>
    <row r="81">
      <c r="A81" s="16" t="s"/>
      <c r="B81" s="13" t="s"/>
      <c r="C81" s="13" t="s"/>
      <c r="D81" s="13" t="s"/>
    </row>
    <row r="82">
      <c r="A82" s="13" t="s"/>
      <c r="B82" s="16" t="s"/>
      <c r="C82" s="16" t="s"/>
      <c r="D82" s="16" t="s"/>
    </row>
    <row r="83">
      <c r="A83" s="16" t="s"/>
      <c r="B83" s="13" t="s"/>
      <c r="C83" s="13" t="s"/>
      <c r="D83" s="13" t="s"/>
    </row>
    <row r="84">
      <c r="A84" s="13" t="s"/>
      <c r="B84" s="13" t="s"/>
      <c r="C84" s="13" t="s"/>
      <c r="D84" s="13" t="s"/>
    </row>
    <row r="85">
      <c r="A85" s="13" t="s"/>
      <c r="B85" s="13" t="s"/>
      <c r="C85" s="13" t="s"/>
      <c r="D85" s="13" t="s"/>
    </row>
    <row r="86">
      <c r="A86" s="13" t="s"/>
      <c r="B86" s="2" t="s"/>
      <c r="C86" s="2" t="s"/>
      <c r="D86" s="2" t="s"/>
    </row>
  </sheetData>
  <mergeCells count="15">
    <mergeCell ref="A1:D4"/>
    <mergeCell ref="A5:D5"/>
    <mergeCell ref="B6:D6"/>
    <mergeCell ref="B7:D7"/>
    <mergeCell ref="B8:D8"/>
    <mergeCell ref="A10:C10"/>
    <mergeCell ref="A11:C11"/>
    <mergeCell ref="A12:C12"/>
    <mergeCell ref="A17:C17"/>
    <mergeCell ref="A22:C22"/>
    <mergeCell ref="A23:C23"/>
    <mergeCell ref="A30:C30"/>
    <mergeCell ref="A40:C40"/>
    <mergeCell ref="A42:D42"/>
    <mergeCell ref="A43:C43"/>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AI46"/>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s>
  <sheetData>
    <row r="1">
      <c r="A1" s="13" t="s">
        <v>2</v>
      </c>
      <c r="B1" s="13" t="s">
        <v>4</v>
      </c>
      <c r="C1" s="13" t="s">
        <v>6</v>
      </c>
    </row>
    <row r="2">
      <c r="A2" s="13" t="s">
        <v>3</v>
      </c>
      <c r="B2" s="13" t="s">
        <v>5</v>
      </c>
      <c r="C2" s="13" t="s">
        <v>7</v>
      </c>
    </row>
    <row r="3">
      <c r="A3" s="13" t="s"/>
      <c r="B3" s="2" t="s"/>
    </row>
    <row r="4"/>
    <row r="5">
      <c r="A5" s="17" t="s">
        <v>37</v>
      </c>
      <c r="B5" s="17" t="s"/>
      <c r="C5" s="17" t="s"/>
      <c r="D5" s="17" t="s"/>
      <c r="E5" s="17" t="s"/>
      <c r="F5" s="17" t="s"/>
      <c r="G5" s="17" t="s"/>
      <c r="H5" s="17">
        <f>=SUM(INDIRECT(ADDRESS(6,8)):INDIRECT(ADDRESS(1048576,8)))</f>
      </c>
      <c r="I5" s="17">
        <f>=SUM(INDIRECT(ADDRESS(6,9)):INDIRECT(ADDRESS(1048576,9)))</f>
      </c>
      <c r="J5" s="17">
        <f>=SUM(INDIRECT(ADDRESS(6,10)):INDIRECT(ADDRESS(1048576,10)))</f>
      </c>
      <c r="K5" s="17">
        <f>=SUM(INDIRECT(ADDRESS(6,11)):INDIRECT(ADDRESS(1048576,11)))</f>
      </c>
      <c r="L5" s="17">
        <f>=SUM(INDIRECT(ADDRESS(6,12)):INDIRECT(ADDRESS(1048576,12)))</f>
      </c>
      <c r="M5" s="17">
        <f>=SUM(INDIRECT(ADDRESS(6,13)):INDIRECT(ADDRESS(1048576,13)))</f>
      </c>
      <c r="N5" s="17">
        <f>=SUM(INDIRECT(ADDRESS(6,14)):INDIRECT(ADDRESS(1048576,14)))</f>
      </c>
      <c r="O5" s="17">
        <f>=SUM(INDIRECT(ADDRESS(6,15)):INDIRECT(ADDRESS(1048576,15)))</f>
      </c>
      <c r="P5" s="17">
        <f>=SUM(INDIRECT(ADDRESS(6,16)):INDIRECT(ADDRESS(1048576,16)))</f>
      </c>
      <c r="Q5" s="17">
        <f>=SUM(INDIRECT(ADDRESS(6,17)):INDIRECT(ADDRESS(1048576,17)))</f>
      </c>
      <c r="R5" s="17">
        <f>=SUM(INDIRECT(ADDRESS(6,18)):INDIRECT(ADDRESS(1048576,18)))</f>
      </c>
      <c r="S5" s="17" t="s"/>
      <c r="T5" s="17">
        <f>=SUM(INDIRECT(ADDRESS(6,20)):INDIRECT(ADDRESS(1048576,20)))</f>
      </c>
      <c r="U5" s="17">
        <f>=SUM(INDIRECT(ADDRESS(6,21)):INDIRECT(ADDRESS(1048576,21)))</f>
      </c>
      <c r="V5" s="17">
        <f>=SUM(INDIRECT(ADDRESS(6,22)):INDIRECT(ADDRESS(1048576,22)))</f>
      </c>
      <c r="W5" s="17">
        <f>=SUM(INDIRECT(ADDRESS(6,23)):INDIRECT(ADDRESS(1048576,23)))</f>
      </c>
      <c r="X5" s="17">
        <f>=SUM(INDIRECT(ADDRESS(6,24)):INDIRECT(ADDRESS(1048576,24)))</f>
      </c>
      <c r="Y5" s="17">
        <f>=SUM(INDIRECT(ADDRESS(6,25)):INDIRECT(ADDRESS(1048576,25)))</f>
      </c>
      <c r="Z5" s="17">
        <f>=SUM(INDIRECT(ADDRESS(6,26)):INDIRECT(ADDRESS(1048576,26)))</f>
      </c>
      <c r="AA5" s="17" t="s"/>
      <c r="AB5" s="17">
        <f>=SUM(INDIRECT(ADDRESS(6,28)):INDIRECT(ADDRESS(1048576,28)))</f>
      </c>
      <c r="AC5" s="17">
        <f>=SUM(INDIRECT(ADDRESS(6,29)):INDIRECT(ADDRESS(1048576,29)))</f>
      </c>
      <c r="AD5" s="17" t="s"/>
      <c r="AE5" s="17" t="s"/>
      <c r="AF5" s="17" t="s"/>
      <c r="AG5" s="17">
        <f>=SUM(INDIRECT(ADDRESS(6,33)):INDIRECT(ADDRESS(1048576,33)))</f>
      </c>
      <c r="AH5" s="17">
        <f>=SUM(INDIRECT(ADDRESS(6,34)):INDIRECT(ADDRESS(1048576,34)))</f>
      </c>
      <c r="AI5" s="17">
        <f>=SUM(INDIRECT(ADDRESS(6,35)):INDIRECT(ADDRESS(1048576,35)))</f>
      </c>
    </row>
    <row r="6">
      <c r="A6" s="17" t="s">
        <v>38</v>
      </c>
      <c r="B6" s="17" t="s">
        <v>39</v>
      </c>
      <c r="C6" s="17" t="s">
        <v>40</v>
      </c>
      <c r="D6" s="17" t="s">
        <v>41</v>
      </c>
      <c r="E6" s="17" t="s">
        <v>42</v>
      </c>
      <c r="F6" s="17" t="s">
        <v>43</v>
      </c>
      <c r="G6" s="17" t="s">
        <v>44</v>
      </c>
      <c r="H6" s="17" t="s">
        <v>12</v>
      </c>
      <c r="I6" s="17" t="s">
        <v>13</v>
      </c>
      <c r="J6" s="17" t="s">
        <v>14</v>
      </c>
      <c r="K6" s="17" t="s">
        <v>16</v>
      </c>
      <c r="L6" s="17" t="s">
        <v>17</v>
      </c>
      <c r="M6" s="17" t="s">
        <v>18</v>
      </c>
      <c r="N6" s="17" t="s">
        <v>21</v>
      </c>
      <c r="O6" s="17" t="s">
        <v>22</v>
      </c>
      <c r="P6" s="17" t="s">
        <v>23</v>
      </c>
      <c r="Q6" s="17" t="s">
        <v>24</v>
      </c>
      <c r="R6" s="17" t="s">
        <v>25</v>
      </c>
      <c r="S6" s="17" t="s">
        <v>27</v>
      </c>
      <c r="T6" s="17" t="s">
        <v>28</v>
      </c>
      <c r="U6" s="17" t="s">
        <v>29</v>
      </c>
      <c r="V6" s="17" t="s">
        <v>30</v>
      </c>
      <c r="W6" s="17" t="s">
        <v>31</v>
      </c>
      <c r="X6" s="17" t="s">
        <v>32</v>
      </c>
      <c r="Y6" s="17" t="s">
        <v>33</v>
      </c>
      <c r="Z6" s="17" t="s">
        <v>45</v>
      </c>
      <c r="AA6" s="17" t="s">
        <v>46</v>
      </c>
      <c r="AB6" s="17" t="s">
        <v>47</v>
      </c>
      <c r="AC6" s="17" t="s">
        <v>36</v>
      </c>
      <c r="AD6" s="17" t="s">
        <v>48</v>
      </c>
      <c r="AE6" s="17" t="s">
        <v>49</v>
      </c>
      <c r="AF6" s="17" t="s"/>
      <c r="AG6" s="17" t="s">
        <v>50</v>
      </c>
      <c r="AH6" s="17" t="s">
        <v>51</v>
      </c>
      <c r="AI6" s="17" t="s">
        <v>52</v>
      </c>
    </row>
    <row r="7">
      <c r="A7" s="17">
        <v>1</v>
      </c>
      <c r="B7" s="17" t="s">
        <v>53</v>
      </c>
      <c r="C7" s="17" t="s"/>
      <c r="D7" s="17" t="s">
        <v>54</v>
      </c>
      <c r="E7" s="17" t="s">
        <v>55</v>
      </c>
      <c r="F7" s="17" t="s">
        <v>56</v>
      </c>
      <c r="G7" s="17" t="s">
        <v>55</v>
      </c>
      <c r="H7" s="17">
        <v>710000</v>
      </c>
      <c r="I7" s="17">
        <v>-65000</v>
      </c>
      <c r="J7" s="17">
        <v>0</v>
      </c>
      <c r="K7" s="17">
        <v>0</v>
      </c>
      <c r="L7" s="17">
        <v>0</v>
      </c>
      <c r="M7" s="17">
        <v>0</v>
      </c>
      <c r="N7" s="17">
        <v>2000</v>
      </c>
      <c r="O7" s="17">
        <v>0</v>
      </c>
      <c r="P7" s="17">
        <v>20000</v>
      </c>
      <c r="Q7" s="17">
        <v>-22000</v>
      </c>
      <c r="R7" s="17">
        <v>0</v>
      </c>
      <c r="S7" s="17">
        <v>0</v>
      </c>
      <c r="T7" s="17">
        <v>0</v>
      </c>
      <c r="U7" s="17">
        <v>0</v>
      </c>
      <c r="V7" s="17">
        <v>0</v>
      </c>
      <c r="W7" s="17">
        <v>0</v>
      </c>
      <c r="X7" s="17">
        <v>0</v>
      </c>
      <c r="Y7" s="17">
        <v>0</v>
      </c>
      <c r="Z7" s="17">
        <v>645000</v>
      </c>
      <c r="AA7" s="17" t="s"/>
      <c r="AB7" s="17">
        <v>0</v>
      </c>
      <c r="AC7" s="17">
        <v>0</v>
      </c>
      <c r="AD7" s="17" t="s">
        <v>57</v>
      </c>
      <c r="AE7" s="17" t="s">
        <v>58</v>
      </c>
      <c r="AF7" s="17" t="s"/>
      <c r="AG7" s="17">
        <v>0</v>
      </c>
      <c r="AH7" s="17">
        <v>0</v>
      </c>
      <c r="AI7" s="17">
        <v>0</v>
      </c>
    </row>
    <row r="8">
      <c r="A8" s="17">
        <v>2</v>
      </c>
      <c r="B8" s="17" t="s">
        <v>59</v>
      </c>
      <c r="C8" s="17" t="s"/>
      <c r="D8" s="17" t="s">
        <v>60</v>
      </c>
      <c r="E8" s="17" t="s">
        <v>61</v>
      </c>
      <c r="F8" s="17" t="s">
        <v>56</v>
      </c>
      <c r="G8" s="17" t="s">
        <v>61</v>
      </c>
      <c r="H8" s="17">
        <v>810000</v>
      </c>
      <c r="I8" s="17">
        <v>-75000</v>
      </c>
      <c r="J8" s="17">
        <v>0</v>
      </c>
      <c r="K8" s="17">
        <v>0</v>
      </c>
      <c r="L8" s="17">
        <v>0</v>
      </c>
      <c r="M8" s="17">
        <v>0</v>
      </c>
      <c r="N8" s="17">
        <v>0</v>
      </c>
      <c r="O8" s="17">
        <v>0</v>
      </c>
      <c r="P8" s="17">
        <v>18000</v>
      </c>
      <c r="Q8" s="17">
        <v>-18000</v>
      </c>
      <c r="R8" s="17">
        <v>0</v>
      </c>
      <c r="S8" s="17">
        <v>0</v>
      </c>
      <c r="T8" s="17">
        <v>0</v>
      </c>
      <c r="U8" s="17">
        <v>0</v>
      </c>
      <c r="V8" s="17">
        <v>0</v>
      </c>
      <c r="W8" s="17">
        <v>0</v>
      </c>
      <c r="X8" s="17">
        <v>0</v>
      </c>
      <c r="Y8" s="17">
        <v>0</v>
      </c>
      <c r="Z8" s="17">
        <v>735000</v>
      </c>
      <c r="AA8" s="17" t="s"/>
      <c r="AB8" s="17">
        <v>0</v>
      </c>
      <c r="AC8" s="17">
        <v>0</v>
      </c>
      <c r="AD8" s="17" t="s">
        <v>57</v>
      </c>
      <c r="AE8" s="17" t="s">
        <v>58</v>
      </c>
      <c r="AF8" s="17" t="s"/>
      <c r="AG8" s="17">
        <v>0</v>
      </c>
      <c r="AH8" s="17">
        <v>0</v>
      </c>
      <c r="AI8" s="17">
        <v>0</v>
      </c>
    </row>
    <row r="9">
      <c r="A9" s="17">
        <v>3</v>
      </c>
      <c r="B9" s="17" t="s">
        <v>62</v>
      </c>
      <c r="C9" s="17" t="s"/>
      <c r="D9" s="17" t="s">
        <v>63</v>
      </c>
      <c r="E9" s="17" t="s">
        <v>61</v>
      </c>
      <c r="F9" s="17" t="s">
        <v>56</v>
      </c>
      <c r="G9" s="17" t="s">
        <v>64</v>
      </c>
      <c r="H9" s="17">
        <v>942500</v>
      </c>
      <c r="I9" s="17">
        <v>-87500</v>
      </c>
      <c r="J9" s="17">
        <v>0</v>
      </c>
      <c r="K9" s="17">
        <v>0</v>
      </c>
      <c r="L9" s="17">
        <v>0</v>
      </c>
      <c r="M9" s="17">
        <v>0</v>
      </c>
      <c r="N9" s="17">
        <v>3000</v>
      </c>
      <c r="O9" s="17">
        <v>0</v>
      </c>
      <c r="P9" s="17">
        <v>20000</v>
      </c>
      <c r="Q9" s="17">
        <v>-23000</v>
      </c>
      <c r="R9" s="17">
        <v>0</v>
      </c>
      <c r="S9" s="17">
        <v>0</v>
      </c>
      <c r="T9" s="17">
        <v>0</v>
      </c>
      <c r="U9" s="17">
        <v>0</v>
      </c>
      <c r="V9" s="17">
        <v>0</v>
      </c>
      <c r="W9" s="17">
        <v>0</v>
      </c>
      <c r="X9" s="17">
        <v>0</v>
      </c>
      <c r="Y9" s="17">
        <v>0</v>
      </c>
      <c r="Z9" s="17">
        <v>855000</v>
      </c>
      <c r="AA9" s="17" t="s"/>
      <c r="AB9" s="17">
        <v>0</v>
      </c>
      <c r="AC9" s="17">
        <v>0</v>
      </c>
      <c r="AD9" s="17" t="s">
        <v>65</v>
      </c>
      <c r="AE9" s="17" t="s">
        <v>66</v>
      </c>
      <c r="AF9" s="17" t="s"/>
      <c r="AG9" s="17">
        <v>0</v>
      </c>
      <c r="AH9" s="17">
        <v>0</v>
      </c>
      <c r="AI9" s="17">
        <v>0</v>
      </c>
    </row>
    <row r="10">
      <c r="A10" s="17">
        <v>4</v>
      </c>
      <c r="B10" s="17" t="s">
        <v>67</v>
      </c>
      <c r="C10" s="17" t="s"/>
      <c r="D10" s="17" t="s">
        <v>68</v>
      </c>
      <c r="E10" s="17" t="s">
        <v>69</v>
      </c>
      <c r="F10" s="17" t="s">
        <v>56</v>
      </c>
      <c r="G10" s="17" t="s">
        <v>70</v>
      </c>
      <c r="H10" s="17">
        <v>942500</v>
      </c>
      <c r="I10" s="17">
        <v>-87500</v>
      </c>
      <c r="J10" s="17">
        <v>0</v>
      </c>
      <c r="K10" s="17">
        <v>0</v>
      </c>
      <c r="L10" s="17">
        <v>0</v>
      </c>
      <c r="M10" s="17">
        <v>0</v>
      </c>
      <c r="N10" s="17">
        <v>0</v>
      </c>
      <c r="O10" s="17">
        <v>0</v>
      </c>
      <c r="P10" s="17">
        <v>18000</v>
      </c>
      <c r="Q10" s="17">
        <v>-18000</v>
      </c>
      <c r="R10" s="17">
        <v>0</v>
      </c>
      <c r="S10" s="17">
        <v>0</v>
      </c>
      <c r="T10" s="17">
        <v>0</v>
      </c>
      <c r="U10" s="17">
        <v>0</v>
      </c>
      <c r="V10" s="17">
        <v>0</v>
      </c>
      <c r="W10" s="17">
        <v>0</v>
      </c>
      <c r="X10" s="17">
        <v>0</v>
      </c>
      <c r="Y10" s="17">
        <v>0</v>
      </c>
      <c r="Z10" s="17">
        <v>855000</v>
      </c>
      <c r="AA10" s="17" t="s"/>
      <c r="AB10" s="17">
        <v>0</v>
      </c>
      <c r="AC10" s="17">
        <v>0</v>
      </c>
      <c r="AD10" s="17" t="s">
        <v>57</v>
      </c>
      <c r="AE10" s="17" t="s">
        <v>58</v>
      </c>
      <c r="AF10" s="17" t="s"/>
      <c r="AG10" s="17">
        <v>0</v>
      </c>
      <c r="AH10" s="17">
        <v>0</v>
      </c>
      <c r="AI10" s="17">
        <v>0</v>
      </c>
    </row>
    <row r="11">
      <c r="A11" s="17">
        <v>5</v>
      </c>
      <c r="B11" s="17" t="s">
        <v>71</v>
      </c>
      <c r="C11" s="17" t="s"/>
      <c r="D11" s="17" t="s">
        <v>72</v>
      </c>
      <c r="E11" s="17" t="s">
        <v>73</v>
      </c>
      <c r="F11" s="17" t="s">
        <v>74</v>
      </c>
      <c r="G11" s="17" t="s">
        <v>75</v>
      </c>
      <c r="H11" s="17">
        <v>15000</v>
      </c>
      <c r="I11" s="17">
        <v>0</v>
      </c>
      <c r="J11" s="17">
        <v>0</v>
      </c>
      <c r="K11" s="17">
        <v>0</v>
      </c>
      <c r="L11" s="17">
        <v>0</v>
      </c>
      <c r="M11" s="17">
        <v>0</v>
      </c>
      <c r="N11" s="17">
        <v>17500</v>
      </c>
      <c r="O11" s="17">
        <v>0</v>
      </c>
      <c r="P11" s="17">
        <v>0</v>
      </c>
      <c r="Q11" s="17">
        <v>-17500</v>
      </c>
      <c r="R11" s="17">
        <v>0</v>
      </c>
      <c r="S11" s="17">
        <v>0</v>
      </c>
      <c r="T11" s="17">
        <v>0</v>
      </c>
      <c r="U11" s="17">
        <v>0</v>
      </c>
      <c r="V11" s="17">
        <v>0</v>
      </c>
      <c r="W11" s="17">
        <v>0</v>
      </c>
      <c r="X11" s="17">
        <v>0</v>
      </c>
      <c r="Y11" s="17">
        <v>0</v>
      </c>
      <c r="Z11" s="17">
        <v>15000</v>
      </c>
      <c r="AA11" s="17" t="s"/>
      <c r="AB11" s="17">
        <v>0</v>
      </c>
      <c r="AC11" s="17">
        <v>0</v>
      </c>
      <c r="AD11" s="17" t="s">
        <v>76</v>
      </c>
      <c r="AE11" s="17" t="s">
        <v>77</v>
      </c>
      <c r="AF11" s="17" t="s"/>
      <c r="AG11" s="17">
        <v>0</v>
      </c>
      <c r="AH11" s="17">
        <v>0</v>
      </c>
      <c r="AI11" s="17">
        <v>0</v>
      </c>
    </row>
    <row r="12">
      <c r="A12" s="17">
        <v>6</v>
      </c>
      <c r="B12" s="17" t="s">
        <v>78</v>
      </c>
      <c r="C12" s="17" t="s"/>
      <c r="D12" s="17" t="s">
        <v>79</v>
      </c>
      <c r="E12" s="17" t="s">
        <v>80</v>
      </c>
      <c r="F12" s="17" t="s">
        <v>56</v>
      </c>
      <c r="G12" s="17" t="s">
        <v>81</v>
      </c>
      <c r="H12" s="17">
        <v>15000</v>
      </c>
      <c r="I12" s="17">
        <v>0</v>
      </c>
      <c r="J12" s="17">
        <v>0</v>
      </c>
      <c r="K12" s="17">
        <v>0</v>
      </c>
      <c r="L12" s="17">
        <v>0</v>
      </c>
      <c r="M12" s="17">
        <v>0</v>
      </c>
      <c r="N12" s="17">
        <v>0</v>
      </c>
      <c r="O12" s="17">
        <v>0</v>
      </c>
      <c r="P12" s="17">
        <v>8000</v>
      </c>
      <c r="Q12" s="17">
        <v>-8000</v>
      </c>
      <c r="R12" s="17">
        <v>0</v>
      </c>
      <c r="S12" s="17">
        <v>0</v>
      </c>
      <c r="T12" s="17">
        <v>0</v>
      </c>
      <c r="U12" s="17">
        <v>0</v>
      </c>
      <c r="V12" s="17">
        <v>0</v>
      </c>
      <c r="W12" s="17">
        <v>0</v>
      </c>
      <c r="X12" s="17">
        <v>0</v>
      </c>
      <c r="Y12" s="17">
        <v>0</v>
      </c>
      <c r="Z12" s="17">
        <v>15000</v>
      </c>
      <c r="AA12" s="17" t="s"/>
      <c r="AB12" s="17">
        <v>0</v>
      </c>
      <c r="AC12" s="17">
        <v>0</v>
      </c>
      <c r="AD12" s="17" t="s">
        <v>82</v>
      </c>
      <c r="AE12" s="17" t="s">
        <v>83</v>
      </c>
      <c r="AF12" s="17" t="s"/>
      <c r="AG12" s="17">
        <v>0</v>
      </c>
      <c r="AH12" s="17">
        <v>0</v>
      </c>
      <c r="AI12" s="17">
        <v>0</v>
      </c>
    </row>
    <row r="13">
      <c r="A13" s="17">
        <v>7</v>
      </c>
      <c r="B13" s="17" t="s">
        <v>84</v>
      </c>
      <c r="C13" s="17" t="s"/>
      <c r="D13" s="17" t="s">
        <v>85</v>
      </c>
      <c r="E13" s="17" t="s">
        <v>86</v>
      </c>
      <c r="F13" s="17" t="s">
        <v>56</v>
      </c>
      <c r="G13" s="17" t="s">
        <v>87</v>
      </c>
      <c r="H13" s="17">
        <v>15000</v>
      </c>
      <c r="I13" s="17">
        <v>0</v>
      </c>
      <c r="J13" s="17">
        <v>0</v>
      </c>
      <c r="K13" s="17">
        <v>0</v>
      </c>
      <c r="L13" s="17">
        <v>0</v>
      </c>
      <c r="M13" s="17">
        <v>0</v>
      </c>
      <c r="N13" s="17">
        <v>8000</v>
      </c>
      <c r="O13" s="17">
        <v>0</v>
      </c>
      <c r="P13" s="17">
        <v>0</v>
      </c>
      <c r="Q13" s="17">
        <v>-8000</v>
      </c>
      <c r="R13" s="17">
        <v>0</v>
      </c>
      <c r="S13" s="17">
        <v>0</v>
      </c>
      <c r="T13" s="17">
        <v>0</v>
      </c>
      <c r="U13" s="17">
        <v>0</v>
      </c>
      <c r="V13" s="17">
        <v>0</v>
      </c>
      <c r="W13" s="17">
        <v>0</v>
      </c>
      <c r="X13" s="17">
        <v>0</v>
      </c>
      <c r="Y13" s="17">
        <v>0</v>
      </c>
      <c r="Z13" s="17">
        <v>15000</v>
      </c>
      <c r="AA13" s="17" t="s"/>
      <c r="AB13" s="17">
        <v>0</v>
      </c>
      <c r="AC13" s="17">
        <v>0</v>
      </c>
      <c r="AD13" s="17" t="s">
        <v>82</v>
      </c>
      <c r="AE13" s="17" t="s">
        <v>83</v>
      </c>
      <c r="AF13" s="17" t="s"/>
      <c r="AG13" s="17">
        <v>0</v>
      </c>
      <c r="AH13" s="17">
        <v>0</v>
      </c>
      <c r="AI13" s="17">
        <v>0</v>
      </c>
    </row>
    <row r="14">
      <c r="A14" s="17">
        <v>8</v>
      </c>
      <c r="B14" s="17" t="s">
        <v>88</v>
      </c>
      <c r="C14" s="17" t="s"/>
      <c r="D14" s="17" t="s">
        <v>89</v>
      </c>
      <c r="E14" s="17" t="s">
        <v>90</v>
      </c>
      <c r="F14" s="17" t="s">
        <v>91</v>
      </c>
      <c r="G14" s="17" t="s">
        <v>92</v>
      </c>
      <c r="H14" s="17">
        <v>60000</v>
      </c>
      <c r="I14" s="17">
        <v>0</v>
      </c>
      <c r="J14" s="17">
        <v>0</v>
      </c>
      <c r="K14" s="17">
        <v>0</v>
      </c>
      <c r="L14" s="17">
        <v>0</v>
      </c>
      <c r="M14" s="17">
        <v>0</v>
      </c>
      <c r="N14" s="17">
        <v>9000</v>
      </c>
      <c r="O14" s="17">
        <v>0</v>
      </c>
      <c r="P14" s="17">
        <v>0</v>
      </c>
      <c r="Q14" s="17">
        <v>-9000</v>
      </c>
      <c r="R14" s="17">
        <v>0</v>
      </c>
      <c r="S14" s="17">
        <v>0</v>
      </c>
      <c r="T14" s="17">
        <v>0</v>
      </c>
      <c r="U14" s="17">
        <v>0</v>
      </c>
      <c r="V14" s="17">
        <v>0</v>
      </c>
      <c r="W14" s="17">
        <v>0</v>
      </c>
      <c r="X14" s="17">
        <v>0</v>
      </c>
      <c r="Y14" s="17">
        <v>0</v>
      </c>
      <c r="Z14" s="17">
        <v>60000</v>
      </c>
      <c r="AA14" s="17" t="s"/>
      <c r="AB14" s="17">
        <v>0</v>
      </c>
      <c r="AC14" s="17">
        <v>0</v>
      </c>
      <c r="AD14" s="17" t="s">
        <v>76</v>
      </c>
      <c r="AE14" s="17" t="s">
        <v>93</v>
      </c>
      <c r="AF14" s="17" t="s"/>
      <c r="AG14" s="17">
        <v>0</v>
      </c>
      <c r="AH14" s="17">
        <v>0</v>
      </c>
      <c r="AI14" s="17">
        <v>0</v>
      </c>
    </row>
    <row r="15">
      <c r="A15" s="17">
        <v>9</v>
      </c>
      <c r="B15" s="17" t="s">
        <v>94</v>
      </c>
      <c r="C15" s="17" t="s"/>
      <c r="D15" s="17" t="s">
        <v>95</v>
      </c>
      <c r="E15" s="17" t="s">
        <v>96</v>
      </c>
      <c r="F15" s="17" t="s">
        <v>74</v>
      </c>
      <c r="G15" s="17" t="s">
        <v>97</v>
      </c>
      <c r="H15" s="17">
        <v>40000</v>
      </c>
      <c r="I15" s="17">
        <v>0</v>
      </c>
      <c r="J15" s="17">
        <v>0</v>
      </c>
      <c r="K15" s="17">
        <v>0</v>
      </c>
      <c r="L15" s="17">
        <v>0</v>
      </c>
      <c r="M15" s="17">
        <v>0</v>
      </c>
      <c r="N15" s="17">
        <v>28500</v>
      </c>
      <c r="O15" s="17">
        <v>0</v>
      </c>
      <c r="P15" s="17">
        <v>10000</v>
      </c>
      <c r="Q15" s="17">
        <v>-38500</v>
      </c>
      <c r="R15" s="17">
        <v>0</v>
      </c>
      <c r="S15" s="17">
        <v>0</v>
      </c>
      <c r="T15" s="17">
        <v>0</v>
      </c>
      <c r="U15" s="17">
        <v>0</v>
      </c>
      <c r="V15" s="17">
        <v>0</v>
      </c>
      <c r="W15" s="17">
        <v>0</v>
      </c>
      <c r="X15" s="17">
        <v>0</v>
      </c>
      <c r="Y15" s="17">
        <v>0</v>
      </c>
      <c r="Z15" s="17">
        <v>40000</v>
      </c>
      <c r="AA15" s="17" t="s"/>
      <c r="AB15" s="17">
        <v>0</v>
      </c>
      <c r="AC15" s="17">
        <v>0</v>
      </c>
      <c r="AD15" s="17" t="s">
        <v>82</v>
      </c>
      <c r="AE15" s="17" t="s">
        <v>98</v>
      </c>
      <c r="AF15" s="17" t="s"/>
      <c r="AG15" s="17">
        <v>0</v>
      </c>
      <c r="AH15" s="17">
        <v>0</v>
      </c>
      <c r="AI15" s="17">
        <v>0</v>
      </c>
    </row>
    <row r="16">
      <c r="A16" s="17">
        <v>10</v>
      </c>
      <c r="B16" s="17" t="s">
        <v>99</v>
      </c>
      <c r="C16" s="17" t="s"/>
      <c r="D16" s="17" t="s">
        <v>100</v>
      </c>
      <c r="E16" s="17" t="s">
        <v>92</v>
      </c>
      <c r="F16" s="17" t="s">
        <v>91</v>
      </c>
      <c r="G16" s="17" t="s">
        <v>101</v>
      </c>
      <c r="H16" s="17">
        <v>65000</v>
      </c>
      <c r="I16" s="17">
        <v>-2500</v>
      </c>
      <c r="J16" s="17">
        <v>0</v>
      </c>
      <c r="K16" s="17">
        <v>0</v>
      </c>
      <c r="L16" s="17">
        <v>0</v>
      </c>
      <c r="M16" s="17">
        <v>0</v>
      </c>
      <c r="N16" s="17">
        <v>22000</v>
      </c>
      <c r="O16" s="17">
        <v>0</v>
      </c>
      <c r="P16" s="17">
        <v>0</v>
      </c>
      <c r="Q16" s="17">
        <v>-22000</v>
      </c>
      <c r="R16" s="17">
        <v>0</v>
      </c>
      <c r="S16" s="17">
        <v>0</v>
      </c>
      <c r="T16" s="17">
        <v>0</v>
      </c>
      <c r="U16" s="17">
        <v>0</v>
      </c>
      <c r="V16" s="17">
        <v>0</v>
      </c>
      <c r="W16" s="17">
        <v>0</v>
      </c>
      <c r="X16" s="17">
        <v>0</v>
      </c>
      <c r="Y16" s="17">
        <v>0</v>
      </c>
      <c r="Z16" s="17">
        <v>62500</v>
      </c>
      <c r="AA16" s="17" t="s"/>
      <c r="AB16" s="17">
        <v>0</v>
      </c>
      <c r="AC16" s="17">
        <v>0</v>
      </c>
      <c r="AD16" s="17" t="s">
        <v>82</v>
      </c>
      <c r="AE16" s="17" t="s">
        <v>83</v>
      </c>
      <c r="AF16" s="17" t="s"/>
      <c r="AG16" s="17">
        <v>0</v>
      </c>
      <c r="AH16" s="17">
        <v>0</v>
      </c>
      <c r="AI16" s="17">
        <v>0</v>
      </c>
    </row>
    <row r="17">
      <c r="A17" s="17">
        <v>11</v>
      </c>
      <c r="B17" s="17" t="s">
        <v>102</v>
      </c>
      <c r="C17" s="17" t="s"/>
      <c r="D17" s="17" t="s">
        <v>103</v>
      </c>
      <c r="E17" s="17" t="s">
        <v>104</v>
      </c>
      <c r="F17" s="17" t="s">
        <v>91</v>
      </c>
      <c r="G17" s="17" t="s">
        <v>105</v>
      </c>
      <c r="H17" s="17">
        <v>30000</v>
      </c>
      <c r="I17" s="17">
        <v>0</v>
      </c>
      <c r="J17" s="17">
        <v>0</v>
      </c>
      <c r="K17" s="17">
        <v>0</v>
      </c>
      <c r="L17" s="17">
        <v>0</v>
      </c>
      <c r="M17" s="17">
        <v>0</v>
      </c>
      <c r="N17" s="17">
        <v>18500</v>
      </c>
      <c r="O17" s="17">
        <v>0</v>
      </c>
      <c r="P17" s="17">
        <v>0</v>
      </c>
      <c r="Q17" s="17">
        <v>-18500</v>
      </c>
      <c r="R17" s="17">
        <v>0</v>
      </c>
      <c r="S17" s="17">
        <v>0</v>
      </c>
      <c r="T17" s="17">
        <v>0</v>
      </c>
      <c r="U17" s="17">
        <v>0</v>
      </c>
      <c r="V17" s="17">
        <v>0</v>
      </c>
      <c r="W17" s="17">
        <v>0</v>
      </c>
      <c r="X17" s="17">
        <v>0</v>
      </c>
      <c r="Y17" s="17">
        <v>0</v>
      </c>
      <c r="Z17" s="17">
        <v>30000</v>
      </c>
      <c r="AA17" s="17" t="s"/>
      <c r="AB17" s="17">
        <v>0</v>
      </c>
      <c r="AC17" s="17">
        <v>0</v>
      </c>
      <c r="AD17" s="17" t="s">
        <v>82</v>
      </c>
      <c r="AE17" s="17" t="s">
        <v>83</v>
      </c>
      <c r="AF17" s="17" t="s"/>
      <c r="AG17" s="17">
        <v>0</v>
      </c>
      <c r="AH17" s="17">
        <v>0</v>
      </c>
      <c r="AI17" s="17">
        <v>0</v>
      </c>
    </row>
    <row r="18">
      <c r="A18" s="17">
        <v>12</v>
      </c>
      <c r="B18" s="17" t="s">
        <v>106</v>
      </c>
      <c r="C18" s="17" t="s"/>
      <c r="D18" s="17" t="s">
        <v>107</v>
      </c>
      <c r="E18" s="17" t="s">
        <v>101</v>
      </c>
      <c r="F18" s="17" t="s">
        <v>74</v>
      </c>
      <c r="G18" s="17" t="s">
        <v>108</v>
      </c>
      <c r="H18" s="17">
        <v>30000</v>
      </c>
      <c r="I18" s="17">
        <v>0</v>
      </c>
      <c r="J18" s="17">
        <v>0</v>
      </c>
      <c r="K18" s="17">
        <v>0</v>
      </c>
      <c r="L18" s="17">
        <v>0</v>
      </c>
      <c r="M18" s="17">
        <v>0</v>
      </c>
      <c r="N18" s="17">
        <v>22000</v>
      </c>
      <c r="O18" s="17">
        <v>0</v>
      </c>
      <c r="P18" s="17">
        <v>0</v>
      </c>
      <c r="Q18" s="17">
        <v>-22000</v>
      </c>
      <c r="R18" s="17">
        <v>0</v>
      </c>
      <c r="S18" s="17">
        <v>0</v>
      </c>
      <c r="T18" s="17">
        <v>-646</v>
      </c>
      <c r="U18" s="17">
        <v>0</v>
      </c>
      <c r="V18" s="17">
        <v>0</v>
      </c>
      <c r="W18" s="17">
        <v>0</v>
      </c>
      <c r="X18" s="17">
        <v>0</v>
      </c>
      <c r="Y18" s="17">
        <v>0</v>
      </c>
      <c r="Z18" s="17">
        <v>29354</v>
      </c>
      <c r="AA18" s="17" t="s"/>
      <c r="AB18" s="17">
        <v>0</v>
      </c>
      <c r="AC18" s="17">
        <v>0</v>
      </c>
      <c r="AD18" s="17" t="s">
        <v>76</v>
      </c>
      <c r="AE18" s="17" t="s">
        <v>77</v>
      </c>
      <c r="AF18" s="17" t="s"/>
      <c r="AG18" s="17">
        <v>0</v>
      </c>
      <c r="AH18" s="17">
        <v>0</v>
      </c>
      <c r="AI18" s="17">
        <v>0</v>
      </c>
    </row>
    <row r="19">
      <c r="A19" s="17">
        <v>13</v>
      </c>
      <c r="B19" s="17" t="s">
        <v>109</v>
      </c>
      <c r="C19" s="17" t="s"/>
      <c r="D19" s="17" t="s">
        <v>110</v>
      </c>
      <c r="E19" s="17" t="s">
        <v>111</v>
      </c>
      <c r="F19" s="17" t="s">
        <v>56</v>
      </c>
      <c r="G19" s="17" t="s">
        <v>108</v>
      </c>
      <c r="H19" s="17">
        <v>22500</v>
      </c>
      <c r="I19" s="17">
        <v>0</v>
      </c>
      <c r="J19" s="17">
        <v>0</v>
      </c>
      <c r="K19" s="17">
        <v>0</v>
      </c>
      <c r="L19" s="17">
        <v>0</v>
      </c>
      <c r="M19" s="17">
        <v>0</v>
      </c>
      <c r="N19" s="17">
        <v>9000</v>
      </c>
      <c r="O19" s="17">
        <v>0</v>
      </c>
      <c r="P19" s="17">
        <v>0</v>
      </c>
      <c r="Q19" s="17">
        <v>-9000</v>
      </c>
      <c r="R19" s="17">
        <v>0</v>
      </c>
      <c r="S19" s="17">
        <v>0</v>
      </c>
      <c r="T19" s="17">
        <v>0</v>
      </c>
      <c r="U19" s="17">
        <v>0</v>
      </c>
      <c r="V19" s="17">
        <v>0</v>
      </c>
      <c r="W19" s="17">
        <v>0</v>
      </c>
      <c r="X19" s="17">
        <v>0</v>
      </c>
      <c r="Y19" s="17">
        <v>0</v>
      </c>
      <c r="Z19" s="17">
        <v>22500</v>
      </c>
      <c r="AA19" s="17" t="s"/>
      <c r="AB19" s="17">
        <v>0</v>
      </c>
      <c r="AC19" s="17">
        <v>0</v>
      </c>
      <c r="AD19" s="17" t="s">
        <v>76</v>
      </c>
      <c r="AE19" s="17" t="s">
        <v>93</v>
      </c>
      <c r="AF19" s="17" t="s"/>
      <c r="AG19" s="17">
        <v>0</v>
      </c>
      <c r="AH19" s="17">
        <v>0</v>
      </c>
      <c r="AI19" s="17">
        <v>0</v>
      </c>
    </row>
    <row r="20">
      <c r="A20" s="17">
        <v>14</v>
      </c>
      <c r="B20" s="17" t="s">
        <v>112</v>
      </c>
      <c r="C20" s="17" t="s"/>
      <c r="D20" s="17" t="s">
        <v>113</v>
      </c>
      <c r="E20" s="17" t="s">
        <v>114</v>
      </c>
      <c r="F20" s="17" t="s">
        <v>56</v>
      </c>
      <c r="G20" s="17" t="s">
        <v>115</v>
      </c>
      <c r="H20" s="17">
        <v>71000</v>
      </c>
      <c r="I20" s="17">
        <v>0</v>
      </c>
      <c r="J20" s="17">
        <v>0</v>
      </c>
      <c r="K20" s="17">
        <v>0</v>
      </c>
      <c r="L20" s="17">
        <v>0</v>
      </c>
      <c r="M20" s="17">
        <v>0</v>
      </c>
      <c r="N20" s="17">
        <v>7000</v>
      </c>
      <c r="O20" s="17">
        <v>0</v>
      </c>
      <c r="P20" s="17">
        <v>15000</v>
      </c>
      <c r="Q20" s="17">
        <v>-22000</v>
      </c>
      <c r="R20" s="17">
        <v>0</v>
      </c>
      <c r="S20" s="17">
        <v>0</v>
      </c>
      <c r="T20" s="17">
        <v>0</v>
      </c>
      <c r="U20" s="17">
        <v>0</v>
      </c>
      <c r="V20" s="17">
        <v>0</v>
      </c>
      <c r="W20" s="17">
        <v>0</v>
      </c>
      <c r="X20" s="17">
        <v>0</v>
      </c>
      <c r="Y20" s="17">
        <v>0</v>
      </c>
      <c r="Z20" s="17">
        <v>71000</v>
      </c>
      <c r="AA20" s="17" t="s"/>
      <c r="AB20" s="17">
        <v>0</v>
      </c>
      <c r="AC20" s="17">
        <v>0</v>
      </c>
      <c r="AD20" s="17" t="s">
        <v>76</v>
      </c>
      <c r="AE20" s="17" t="s">
        <v>116</v>
      </c>
      <c r="AF20" s="17" t="s"/>
      <c r="AG20" s="17">
        <v>0</v>
      </c>
      <c r="AH20" s="17">
        <v>0</v>
      </c>
      <c r="AI20" s="17">
        <v>0</v>
      </c>
    </row>
    <row r="21">
      <c r="A21" s="17">
        <v>15</v>
      </c>
      <c r="B21" s="17" t="s">
        <v>117</v>
      </c>
      <c r="C21" s="17" t="s"/>
      <c r="D21" s="17" t="s">
        <v>118</v>
      </c>
      <c r="E21" s="17" t="s">
        <v>114</v>
      </c>
      <c r="F21" s="17" t="s">
        <v>56</v>
      </c>
      <c r="G21" s="17" t="s">
        <v>115</v>
      </c>
      <c r="H21" s="17">
        <v>180000</v>
      </c>
      <c r="I21" s="17">
        <v>-4000</v>
      </c>
      <c r="J21" s="17">
        <v>0</v>
      </c>
      <c r="K21" s="17">
        <v>0</v>
      </c>
      <c r="L21" s="17">
        <v>0</v>
      </c>
      <c r="M21" s="17">
        <v>0</v>
      </c>
      <c r="N21" s="17">
        <v>20000</v>
      </c>
      <c r="O21" s="17">
        <v>0</v>
      </c>
      <c r="P21" s="17">
        <v>0</v>
      </c>
      <c r="Q21" s="17">
        <v>-20000</v>
      </c>
      <c r="R21" s="17">
        <v>0</v>
      </c>
      <c r="S21" s="17">
        <v>0</v>
      </c>
      <c r="T21" s="17">
        <v>0</v>
      </c>
      <c r="U21" s="17">
        <v>0</v>
      </c>
      <c r="V21" s="17">
        <v>0</v>
      </c>
      <c r="W21" s="17">
        <v>0</v>
      </c>
      <c r="X21" s="17">
        <v>0</v>
      </c>
      <c r="Y21" s="17">
        <v>0</v>
      </c>
      <c r="Z21" s="17">
        <v>176000</v>
      </c>
      <c r="AA21" s="17" t="s"/>
      <c r="AB21" s="17">
        <v>0</v>
      </c>
      <c r="AC21" s="17">
        <v>0</v>
      </c>
      <c r="AD21" s="17" t="s">
        <v>65</v>
      </c>
      <c r="AE21" s="17" t="s">
        <v>66</v>
      </c>
      <c r="AF21" s="17" t="s"/>
      <c r="AG21" s="17">
        <v>0</v>
      </c>
      <c r="AH21" s="17">
        <v>0</v>
      </c>
      <c r="AI21" s="17">
        <v>0</v>
      </c>
    </row>
    <row r="22">
      <c r="A22" s="17">
        <v>16</v>
      </c>
      <c r="B22" s="17" t="s">
        <v>119</v>
      </c>
      <c r="C22" s="17" t="s"/>
      <c r="D22" s="17" t="s">
        <v>120</v>
      </c>
      <c r="E22" s="17" t="s">
        <v>101</v>
      </c>
      <c r="F22" s="17" t="s">
        <v>91</v>
      </c>
      <c r="G22" s="17" t="s">
        <v>121</v>
      </c>
      <c r="H22" s="17">
        <v>45000</v>
      </c>
      <c r="I22" s="17">
        <v>0</v>
      </c>
      <c r="J22" s="17">
        <v>0</v>
      </c>
      <c r="K22" s="17">
        <v>0</v>
      </c>
      <c r="L22" s="17">
        <v>0</v>
      </c>
      <c r="M22" s="17">
        <v>0</v>
      </c>
      <c r="N22" s="17">
        <v>9000</v>
      </c>
      <c r="O22" s="17">
        <v>0</v>
      </c>
      <c r="P22" s="17">
        <v>10000</v>
      </c>
      <c r="Q22" s="17">
        <v>-19000</v>
      </c>
      <c r="R22" s="17">
        <v>0</v>
      </c>
      <c r="S22" s="17">
        <v>0</v>
      </c>
      <c r="T22" s="17">
        <v>-1125</v>
      </c>
      <c r="U22" s="17">
        <v>0</v>
      </c>
      <c r="V22" s="17">
        <v>0</v>
      </c>
      <c r="W22" s="17">
        <v>0</v>
      </c>
      <c r="X22" s="17">
        <v>0</v>
      </c>
      <c r="Y22" s="17">
        <v>0</v>
      </c>
      <c r="Z22" s="17">
        <v>43875</v>
      </c>
      <c r="AA22" s="17" t="s"/>
      <c r="AB22" s="17">
        <v>0</v>
      </c>
      <c r="AC22" s="17">
        <v>0</v>
      </c>
      <c r="AD22" s="17" t="s">
        <v>82</v>
      </c>
      <c r="AE22" s="17" t="s">
        <v>83</v>
      </c>
      <c r="AF22" s="17" t="s"/>
      <c r="AG22" s="17">
        <v>0</v>
      </c>
      <c r="AH22" s="17">
        <v>0</v>
      </c>
      <c r="AI22" s="17">
        <v>0</v>
      </c>
    </row>
    <row r="23">
      <c r="A23" s="17">
        <v>17</v>
      </c>
      <c r="B23" s="17" t="s">
        <v>122</v>
      </c>
      <c r="C23" s="17" t="s"/>
      <c r="D23" s="17" t="s">
        <v>123</v>
      </c>
      <c r="E23" s="17" t="s">
        <v>115</v>
      </c>
      <c r="F23" s="17" t="s">
        <v>56</v>
      </c>
      <c r="G23" s="17" t="s">
        <v>124</v>
      </c>
      <c r="H23" s="17">
        <v>20000</v>
      </c>
      <c r="I23" s="17">
        <v>0</v>
      </c>
      <c r="J23" s="17">
        <v>0</v>
      </c>
      <c r="K23" s="17">
        <v>0</v>
      </c>
      <c r="L23" s="17">
        <v>0</v>
      </c>
      <c r="M23" s="17">
        <v>0</v>
      </c>
      <c r="N23" s="17">
        <v>0</v>
      </c>
      <c r="O23" s="17">
        <v>0</v>
      </c>
      <c r="P23" s="17">
        <v>9000</v>
      </c>
      <c r="Q23" s="17">
        <v>-9000</v>
      </c>
      <c r="R23" s="17">
        <v>0</v>
      </c>
      <c r="S23" s="17">
        <v>0</v>
      </c>
      <c r="T23" s="17">
        <v>-500</v>
      </c>
      <c r="U23" s="17">
        <v>0</v>
      </c>
      <c r="V23" s="17">
        <v>0</v>
      </c>
      <c r="W23" s="17">
        <v>0</v>
      </c>
      <c r="X23" s="17">
        <v>0</v>
      </c>
      <c r="Y23" s="17">
        <v>0</v>
      </c>
      <c r="Z23" s="17">
        <v>19500</v>
      </c>
      <c r="AA23" s="17" t="s"/>
      <c r="AB23" s="17">
        <v>0</v>
      </c>
      <c r="AC23" s="17">
        <v>0</v>
      </c>
      <c r="AD23" s="17" t="s">
        <v>76</v>
      </c>
      <c r="AE23" s="17" t="s">
        <v>77</v>
      </c>
      <c r="AF23" s="17" t="s"/>
      <c r="AG23" s="17">
        <v>0</v>
      </c>
      <c r="AH23" s="17">
        <v>0</v>
      </c>
      <c r="AI23" s="17">
        <v>0</v>
      </c>
    </row>
    <row r="24">
      <c r="A24" s="17">
        <v>18</v>
      </c>
      <c r="B24" s="17" t="s">
        <v>125</v>
      </c>
      <c r="C24" s="17" t="s"/>
      <c r="D24" s="17" t="s">
        <v>126</v>
      </c>
      <c r="E24" s="17" t="s">
        <v>114</v>
      </c>
      <c r="F24" s="17" t="s">
        <v>56</v>
      </c>
      <c r="G24" s="17" t="s">
        <v>124</v>
      </c>
      <c r="H24" s="17">
        <v>195000</v>
      </c>
      <c r="I24" s="17">
        <v>-13000</v>
      </c>
      <c r="J24" s="17">
        <v>0</v>
      </c>
      <c r="K24" s="17">
        <v>0</v>
      </c>
      <c r="L24" s="17">
        <v>0</v>
      </c>
      <c r="M24" s="17">
        <v>0</v>
      </c>
      <c r="N24" s="17">
        <v>23000</v>
      </c>
      <c r="O24" s="17">
        <v>0</v>
      </c>
      <c r="P24" s="17">
        <v>15000</v>
      </c>
      <c r="Q24" s="17">
        <v>-38000</v>
      </c>
      <c r="R24" s="17">
        <v>0</v>
      </c>
      <c r="S24" s="17">
        <v>0</v>
      </c>
      <c r="T24" s="17">
        <v>0</v>
      </c>
      <c r="U24" s="17">
        <v>0</v>
      </c>
      <c r="V24" s="17">
        <v>0</v>
      </c>
      <c r="W24" s="17">
        <v>0</v>
      </c>
      <c r="X24" s="17">
        <v>0</v>
      </c>
      <c r="Y24" s="17">
        <v>0</v>
      </c>
      <c r="Z24" s="17">
        <v>182000</v>
      </c>
      <c r="AA24" s="17" t="s"/>
      <c r="AB24" s="17">
        <v>0</v>
      </c>
      <c r="AC24" s="17">
        <v>0</v>
      </c>
      <c r="AD24" s="17" t="s">
        <v>82</v>
      </c>
      <c r="AE24" s="17" t="s">
        <v>127</v>
      </c>
      <c r="AF24" s="17" t="s"/>
      <c r="AG24" s="17">
        <v>0</v>
      </c>
      <c r="AH24" s="17">
        <v>0</v>
      </c>
      <c r="AI24" s="17">
        <v>0</v>
      </c>
    </row>
    <row r="25">
      <c r="A25" s="17">
        <v>19</v>
      </c>
      <c r="B25" s="17" t="s">
        <v>128</v>
      </c>
      <c r="C25" s="17" t="s"/>
      <c r="D25" s="17" t="s">
        <v>129</v>
      </c>
      <c r="E25" s="17" t="s">
        <v>114</v>
      </c>
      <c r="F25" s="17" t="s">
        <v>56</v>
      </c>
      <c r="G25" s="17" t="s">
        <v>124</v>
      </c>
      <c r="H25" s="17">
        <v>29000</v>
      </c>
      <c r="I25" s="17">
        <v>0</v>
      </c>
      <c r="J25" s="17">
        <v>0</v>
      </c>
      <c r="K25" s="17">
        <v>0</v>
      </c>
      <c r="L25" s="17">
        <v>0</v>
      </c>
      <c r="M25" s="17">
        <v>0</v>
      </c>
      <c r="N25" s="17">
        <v>4000</v>
      </c>
      <c r="O25" s="17">
        <v>0</v>
      </c>
      <c r="P25" s="17">
        <v>15000</v>
      </c>
      <c r="Q25" s="17">
        <v>-19000</v>
      </c>
      <c r="R25" s="17">
        <v>0</v>
      </c>
      <c r="S25" s="17">
        <v>0</v>
      </c>
      <c r="T25" s="17">
        <v>0</v>
      </c>
      <c r="U25" s="17">
        <v>0</v>
      </c>
      <c r="V25" s="17">
        <v>0</v>
      </c>
      <c r="W25" s="17">
        <v>0</v>
      </c>
      <c r="X25" s="17">
        <v>0</v>
      </c>
      <c r="Y25" s="17">
        <v>0</v>
      </c>
      <c r="Z25" s="17">
        <v>29000</v>
      </c>
      <c r="AA25" s="17" t="s"/>
      <c r="AB25" s="17">
        <v>0</v>
      </c>
      <c r="AC25" s="17">
        <v>0</v>
      </c>
      <c r="AD25" s="17" t="s">
        <v>82</v>
      </c>
      <c r="AE25" s="17" t="s">
        <v>127</v>
      </c>
      <c r="AF25" s="17" t="s"/>
      <c r="AG25" s="17">
        <v>0</v>
      </c>
      <c r="AH25" s="17">
        <v>0</v>
      </c>
      <c r="AI25" s="17">
        <v>0</v>
      </c>
    </row>
    <row r="26">
      <c r="A26" s="17">
        <v>20</v>
      </c>
      <c r="B26" s="17" t="s">
        <v>130</v>
      </c>
      <c r="C26" s="17" t="s"/>
      <c r="D26" s="17" t="s">
        <v>131</v>
      </c>
      <c r="E26" s="17" t="s">
        <v>104</v>
      </c>
      <c r="F26" s="17" t="s">
        <v>91</v>
      </c>
      <c r="G26" s="17" t="s">
        <v>124</v>
      </c>
      <c r="H26" s="17">
        <v>22500</v>
      </c>
      <c r="I26" s="17">
        <v>0</v>
      </c>
      <c r="J26" s="17">
        <v>0</v>
      </c>
      <c r="K26" s="17">
        <v>0</v>
      </c>
      <c r="L26" s="17">
        <v>0</v>
      </c>
      <c r="M26" s="17">
        <v>0</v>
      </c>
      <c r="N26" s="17">
        <v>4000</v>
      </c>
      <c r="O26" s="17">
        <v>0</v>
      </c>
      <c r="P26" s="17">
        <v>15000</v>
      </c>
      <c r="Q26" s="17">
        <v>-19000</v>
      </c>
      <c r="R26" s="17">
        <v>0</v>
      </c>
      <c r="S26" s="17">
        <v>0</v>
      </c>
      <c r="T26" s="17">
        <v>0</v>
      </c>
      <c r="U26" s="17">
        <v>0</v>
      </c>
      <c r="V26" s="17">
        <v>0</v>
      </c>
      <c r="W26" s="17">
        <v>0</v>
      </c>
      <c r="X26" s="17">
        <v>0</v>
      </c>
      <c r="Y26" s="17">
        <v>0</v>
      </c>
      <c r="Z26" s="17">
        <v>22500</v>
      </c>
      <c r="AA26" s="17" t="s"/>
      <c r="AB26" s="17">
        <v>0</v>
      </c>
      <c r="AC26" s="17">
        <v>0</v>
      </c>
      <c r="AD26" s="17" t="s">
        <v>82</v>
      </c>
      <c r="AE26" s="17" t="s">
        <v>127</v>
      </c>
      <c r="AF26" s="17" t="s"/>
      <c r="AG26" s="17">
        <v>0</v>
      </c>
      <c r="AH26" s="17">
        <v>0</v>
      </c>
      <c r="AI26" s="17">
        <v>0</v>
      </c>
    </row>
    <row r="27">
      <c r="A27" s="17">
        <v>21</v>
      </c>
      <c r="B27" s="17" t="s">
        <v>132</v>
      </c>
      <c r="C27" s="17" t="s"/>
      <c r="D27" s="17" t="s">
        <v>133</v>
      </c>
      <c r="E27" s="17" t="s">
        <v>101</v>
      </c>
      <c r="F27" s="17" t="s">
        <v>56</v>
      </c>
      <c r="G27" s="17" t="s">
        <v>124</v>
      </c>
      <c r="H27" s="17">
        <v>17000</v>
      </c>
      <c r="I27" s="17">
        <v>0</v>
      </c>
      <c r="J27" s="17">
        <v>0</v>
      </c>
      <c r="K27" s="17">
        <v>0</v>
      </c>
      <c r="L27" s="17">
        <v>0</v>
      </c>
      <c r="M27" s="17">
        <v>0</v>
      </c>
      <c r="N27" s="17">
        <v>11500</v>
      </c>
      <c r="O27" s="17">
        <v>0</v>
      </c>
      <c r="P27" s="17">
        <v>10000</v>
      </c>
      <c r="Q27" s="17">
        <v>-21500</v>
      </c>
      <c r="R27" s="17">
        <v>0</v>
      </c>
      <c r="S27" s="17">
        <v>0</v>
      </c>
      <c r="T27" s="17">
        <v>-425</v>
      </c>
      <c r="U27" s="17">
        <v>0</v>
      </c>
      <c r="V27" s="17">
        <v>0</v>
      </c>
      <c r="W27" s="17">
        <v>0</v>
      </c>
      <c r="X27" s="17">
        <v>0</v>
      </c>
      <c r="Y27" s="17">
        <v>0</v>
      </c>
      <c r="Z27" s="17">
        <v>16575</v>
      </c>
      <c r="AA27" s="17" t="s"/>
      <c r="AB27" s="17">
        <v>0</v>
      </c>
      <c r="AC27" s="17">
        <v>0</v>
      </c>
      <c r="AD27" s="17" t="s">
        <v>76</v>
      </c>
      <c r="AE27" s="17" t="s">
        <v>116</v>
      </c>
      <c r="AF27" s="17" t="s"/>
      <c r="AG27" s="17">
        <v>0</v>
      </c>
      <c r="AH27" s="17">
        <v>0</v>
      </c>
      <c r="AI27" s="17">
        <v>0</v>
      </c>
    </row>
    <row r="28">
      <c r="A28" s="17">
        <v>22</v>
      </c>
      <c r="B28" s="17" t="s">
        <v>134</v>
      </c>
      <c r="C28" s="17" t="s"/>
      <c r="D28" s="17" t="s">
        <v>135</v>
      </c>
      <c r="E28" s="17" t="s">
        <v>115</v>
      </c>
      <c r="F28" s="17" t="s">
        <v>56</v>
      </c>
      <c r="G28" s="17" t="s">
        <v>136</v>
      </c>
      <c r="H28" s="17">
        <v>29000</v>
      </c>
      <c r="I28" s="17">
        <v>0</v>
      </c>
      <c r="J28" s="17">
        <v>0</v>
      </c>
      <c r="K28" s="17">
        <v>0</v>
      </c>
      <c r="L28" s="17">
        <v>0</v>
      </c>
      <c r="M28" s="17">
        <v>0</v>
      </c>
      <c r="N28" s="17">
        <v>0</v>
      </c>
      <c r="O28" s="17">
        <v>0</v>
      </c>
      <c r="P28" s="17">
        <v>19000</v>
      </c>
      <c r="Q28" s="17">
        <v>-19000</v>
      </c>
      <c r="R28" s="17">
        <v>0</v>
      </c>
      <c r="S28" s="17">
        <v>0</v>
      </c>
      <c r="T28" s="17">
        <v>-621</v>
      </c>
      <c r="U28" s="17">
        <v>0</v>
      </c>
      <c r="V28" s="17">
        <v>0</v>
      </c>
      <c r="W28" s="17">
        <v>0</v>
      </c>
      <c r="X28" s="17">
        <v>0</v>
      </c>
      <c r="Y28" s="17">
        <v>0</v>
      </c>
      <c r="Z28" s="17">
        <v>28379</v>
      </c>
      <c r="AA28" s="17" t="s"/>
      <c r="AB28" s="17">
        <v>0</v>
      </c>
      <c r="AC28" s="17">
        <v>0</v>
      </c>
      <c r="AD28" s="17" t="s">
        <v>82</v>
      </c>
      <c r="AE28" s="17" t="s">
        <v>127</v>
      </c>
      <c r="AF28" s="17" t="s"/>
      <c r="AG28" s="17">
        <v>0</v>
      </c>
      <c r="AH28" s="17">
        <v>0</v>
      </c>
      <c r="AI28" s="17">
        <v>0</v>
      </c>
    </row>
    <row r="29">
      <c r="A29" s="17">
        <v>23</v>
      </c>
      <c r="B29" s="17" t="s">
        <v>137</v>
      </c>
      <c r="C29" s="17" t="s"/>
      <c r="D29" s="17" t="s">
        <v>138</v>
      </c>
      <c r="E29" s="17" t="s">
        <v>115</v>
      </c>
      <c r="F29" s="17" t="s">
        <v>56</v>
      </c>
      <c r="G29" s="17" t="s">
        <v>136</v>
      </c>
      <c r="H29" s="17">
        <v>20000</v>
      </c>
      <c r="I29" s="17">
        <v>0</v>
      </c>
      <c r="J29" s="17">
        <v>0</v>
      </c>
      <c r="K29" s="17">
        <v>0</v>
      </c>
      <c r="L29" s="17">
        <v>0</v>
      </c>
      <c r="M29" s="17">
        <v>0</v>
      </c>
      <c r="N29" s="17">
        <v>0</v>
      </c>
      <c r="O29" s="17">
        <v>0</v>
      </c>
      <c r="P29" s="17">
        <v>20000</v>
      </c>
      <c r="Q29" s="17">
        <v>-20000</v>
      </c>
      <c r="R29" s="17">
        <v>0</v>
      </c>
      <c r="S29" s="17">
        <v>0</v>
      </c>
      <c r="T29" s="17">
        <v>-500</v>
      </c>
      <c r="U29" s="17">
        <v>0</v>
      </c>
      <c r="V29" s="17">
        <v>0</v>
      </c>
      <c r="W29" s="17">
        <v>0</v>
      </c>
      <c r="X29" s="17">
        <v>0</v>
      </c>
      <c r="Y29" s="17">
        <v>0</v>
      </c>
      <c r="Z29" s="17">
        <v>19500</v>
      </c>
      <c r="AA29" s="17" t="s"/>
      <c r="AB29" s="17">
        <v>0</v>
      </c>
      <c r="AC29" s="17">
        <v>0</v>
      </c>
      <c r="AD29" s="17" t="s">
        <v>76</v>
      </c>
      <c r="AE29" s="17" t="s">
        <v>93</v>
      </c>
      <c r="AF29" s="17" t="s"/>
      <c r="AG29" s="17">
        <v>0</v>
      </c>
      <c r="AH29" s="17">
        <v>0</v>
      </c>
      <c r="AI29" s="17">
        <v>0</v>
      </c>
    </row>
    <row r="30">
      <c r="A30" s="17">
        <v>24</v>
      </c>
      <c r="B30" s="17" t="s">
        <v>139</v>
      </c>
      <c r="C30" s="17" t="s"/>
      <c r="D30" s="17" t="s">
        <v>140</v>
      </c>
      <c r="E30" s="17" t="s">
        <v>115</v>
      </c>
      <c r="F30" s="17" t="s">
        <v>56</v>
      </c>
      <c r="G30" s="17" t="s">
        <v>136</v>
      </c>
      <c r="H30" s="17">
        <v>30000</v>
      </c>
      <c r="I30" s="17">
        <v>0</v>
      </c>
      <c r="J30" s="17">
        <v>0</v>
      </c>
      <c r="K30" s="17">
        <v>0</v>
      </c>
      <c r="L30" s="17">
        <v>0</v>
      </c>
      <c r="M30" s="17">
        <v>0</v>
      </c>
      <c r="N30" s="17">
        <v>0</v>
      </c>
      <c r="O30" s="17">
        <v>0</v>
      </c>
      <c r="P30" s="17">
        <v>18500</v>
      </c>
      <c r="Q30" s="17">
        <v>-18500</v>
      </c>
      <c r="R30" s="17">
        <v>0</v>
      </c>
      <c r="S30" s="17">
        <v>0</v>
      </c>
      <c r="T30" s="17">
        <v>-646</v>
      </c>
      <c r="U30" s="17">
        <v>0</v>
      </c>
      <c r="V30" s="17">
        <v>0</v>
      </c>
      <c r="W30" s="17">
        <v>0</v>
      </c>
      <c r="X30" s="17">
        <v>0</v>
      </c>
      <c r="Y30" s="17">
        <v>0</v>
      </c>
      <c r="Z30" s="17">
        <v>29354</v>
      </c>
      <c r="AA30" s="17" t="s"/>
      <c r="AB30" s="17">
        <v>0</v>
      </c>
      <c r="AC30" s="17">
        <v>0</v>
      </c>
      <c r="AD30" s="17" t="s">
        <v>82</v>
      </c>
      <c r="AE30" s="17" t="s">
        <v>127</v>
      </c>
      <c r="AF30" s="17" t="s"/>
      <c r="AG30" s="17">
        <v>0</v>
      </c>
      <c r="AH30" s="17">
        <v>0</v>
      </c>
      <c r="AI30" s="17">
        <v>0</v>
      </c>
    </row>
    <row r="31">
      <c r="A31" s="17">
        <v>25</v>
      </c>
      <c r="B31" s="17" t="s">
        <v>141</v>
      </c>
      <c r="C31" s="17" t="s"/>
      <c r="D31" s="17" t="s">
        <v>142</v>
      </c>
      <c r="E31" s="17" t="s">
        <v>101</v>
      </c>
      <c r="F31" s="17" t="s">
        <v>91</v>
      </c>
      <c r="G31" s="17" t="s">
        <v>136</v>
      </c>
      <c r="H31" s="17">
        <v>31000</v>
      </c>
      <c r="I31" s="17">
        <v>0</v>
      </c>
      <c r="J31" s="17">
        <v>0</v>
      </c>
      <c r="K31" s="17">
        <v>0</v>
      </c>
      <c r="L31" s="17">
        <v>0</v>
      </c>
      <c r="M31" s="17">
        <v>0</v>
      </c>
      <c r="N31" s="17">
        <v>19000</v>
      </c>
      <c r="O31" s="17">
        <v>0</v>
      </c>
      <c r="P31" s="17">
        <v>0</v>
      </c>
      <c r="Q31" s="17">
        <v>-19000</v>
      </c>
      <c r="R31" s="17">
        <v>0</v>
      </c>
      <c r="S31" s="17">
        <v>0</v>
      </c>
      <c r="T31" s="17">
        <v>-671</v>
      </c>
      <c r="U31" s="17">
        <v>0</v>
      </c>
      <c r="V31" s="17">
        <v>0</v>
      </c>
      <c r="W31" s="17">
        <v>0</v>
      </c>
      <c r="X31" s="17">
        <v>0</v>
      </c>
      <c r="Y31" s="17">
        <v>0</v>
      </c>
      <c r="Z31" s="17">
        <v>30329</v>
      </c>
      <c r="AA31" s="17" t="s"/>
      <c r="AB31" s="17">
        <v>0</v>
      </c>
      <c r="AC31" s="17">
        <v>0</v>
      </c>
      <c r="AD31" s="17" t="s">
        <v>82</v>
      </c>
      <c r="AE31" s="17" t="s">
        <v>83</v>
      </c>
      <c r="AF31" s="17" t="s"/>
      <c r="AG31" s="17">
        <v>0</v>
      </c>
      <c r="AH31" s="17">
        <v>0</v>
      </c>
      <c r="AI31" s="17">
        <v>0</v>
      </c>
    </row>
    <row r="32">
      <c r="A32" s="17">
        <v>26</v>
      </c>
      <c r="B32" s="17" t="s">
        <v>143</v>
      </c>
      <c r="C32" s="17" t="s"/>
      <c r="D32" s="17" t="s">
        <v>144</v>
      </c>
      <c r="E32" s="17" t="s">
        <v>121</v>
      </c>
      <c r="F32" s="17" t="s">
        <v>91</v>
      </c>
      <c r="G32" s="17" t="s">
        <v>145</v>
      </c>
      <c r="H32" s="17">
        <v>150000</v>
      </c>
      <c r="I32" s="17">
        <v>-10000</v>
      </c>
      <c r="J32" s="17">
        <v>0</v>
      </c>
      <c r="K32" s="17">
        <v>0</v>
      </c>
      <c r="L32" s="17">
        <v>0</v>
      </c>
      <c r="M32" s="17">
        <v>0</v>
      </c>
      <c r="N32" s="17">
        <v>7000</v>
      </c>
      <c r="O32" s="17">
        <v>0</v>
      </c>
      <c r="P32" s="17">
        <v>15000</v>
      </c>
      <c r="Q32" s="17">
        <v>-22000</v>
      </c>
      <c r="R32" s="17">
        <v>0</v>
      </c>
      <c r="S32" s="17">
        <v>0</v>
      </c>
      <c r="T32" s="17">
        <v>-3500</v>
      </c>
      <c r="U32" s="17">
        <v>0</v>
      </c>
      <c r="V32" s="17">
        <v>0</v>
      </c>
      <c r="W32" s="17">
        <v>0</v>
      </c>
      <c r="X32" s="17">
        <v>0</v>
      </c>
      <c r="Y32" s="17">
        <v>0</v>
      </c>
      <c r="Z32" s="17">
        <v>136500</v>
      </c>
      <c r="AA32" s="17" t="s"/>
      <c r="AB32" s="17">
        <v>0</v>
      </c>
      <c r="AC32" s="17">
        <v>0</v>
      </c>
      <c r="AD32" s="17" t="s">
        <v>76</v>
      </c>
      <c r="AE32" s="17" t="s">
        <v>77</v>
      </c>
      <c r="AF32" s="17" t="s"/>
      <c r="AG32" s="17">
        <v>0</v>
      </c>
      <c r="AH32" s="17">
        <v>0</v>
      </c>
      <c r="AI32" s="17">
        <v>0</v>
      </c>
    </row>
    <row r="33">
      <c r="A33" s="17">
        <v>27</v>
      </c>
      <c r="B33" s="17" t="s">
        <v>146</v>
      </c>
      <c r="C33" s="17" t="s"/>
      <c r="D33" s="17" t="s">
        <v>147</v>
      </c>
      <c r="E33" s="17" t="s">
        <v>105</v>
      </c>
      <c r="F33" s="17" t="s">
        <v>91</v>
      </c>
      <c r="G33" s="17" t="s">
        <v>148</v>
      </c>
      <c r="H33" s="17">
        <v>90000</v>
      </c>
      <c r="I33" s="17">
        <v>-3000</v>
      </c>
      <c r="J33" s="17">
        <v>0</v>
      </c>
      <c r="K33" s="17">
        <v>0</v>
      </c>
      <c r="L33" s="17">
        <v>0</v>
      </c>
      <c r="M33" s="17">
        <v>0</v>
      </c>
      <c r="N33" s="17">
        <v>18500</v>
      </c>
      <c r="O33" s="17">
        <v>0</v>
      </c>
      <c r="P33" s="17">
        <v>0</v>
      </c>
      <c r="Q33" s="17">
        <v>-18500</v>
      </c>
      <c r="R33" s="17">
        <v>0</v>
      </c>
      <c r="S33" s="17">
        <v>0</v>
      </c>
      <c r="T33" s="17">
        <v>-2175</v>
      </c>
      <c r="U33" s="17">
        <v>0</v>
      </c>
      <c r="V33" s="17">
        <v>0</v>
      </c>
      <c r="W33" s="17">
        <v>0</v>
      </c>
      <c r="X33" s="17">
        <v>0</v>
      </c>
      <c r="Y33" s="17">
        <v>0</v>
      </c>
      <c r="Z33" s="17">
        <v>84825</v>
      </c>
      <c r="AA33" s="17" t="s"/>
      <c r="AB33" s="17">
        <v>0</v>
      </c>
      <c r="AC33" s="17">
        <v>0</v>
      </c>
      <c r="AD33" s="17" t="s">
        <v>82</v>
      </c>
      <c r="AE33" s="17" t="s">
        <v>83</v>
      </c>
      <c r="AF33" s="17" t="s"/>
      <c r="AG33" s="17">
        <v>0</v>
      </c>
      <c r="AH33" s="17">
        <v>0</v>
      </c>
      <c r="AI33" s="17">
        <v>0</v>
      </c>
    </row>
    <row r="34">
      <c r="A34" s="17">
        <v>28</v>
      </c>
      <c r="B34" s="17" t="s">
        <v>149</v>
      </c>
      <c r="C34" s="17" t="s"/>
      <c r="D34" s="17" t="s">
        <v>150</v>
      </c>
      <c r="E34" s="17" t="s">
        <v>136</v>
      </c>
      <c r="F34" s="17" t="s">
        <v>56</v>
      </c>
      <c r="G34" s="17" t="s">
        <v>151</v>
      </c>
      <c r="H34" s="17">
        <v>43000</v>
      </c>
      <c r="I34" s="17">
        <v>0</v>
      </c>
      <c r="J34" s="17">
        <v>0</v>
      </c>
      <c r="K34" s="17">
        <v>0</v>
      </c>
      <c r="L34" s="17">
        <v>0</v>
      </c>
      <c r="M34" s="17">
        <v>0</v>
      </c>
      <c r="N34" s="17">
        <v>17000</v>
      </c>
      <c r="O34" s="17">
        <v>0</v>
      </c>
      <c r="P34" s="17">
        <v>0</v>
      </c>
      <c r="Q34" s="17">
        <v>-17000</v>
      </c>
      <c r="R34" s="17">
        <v>0</v>
      </c>
      <c r="S34" s="17">
        <v>0</v>
      </c>
      <c r="T34" s="17">
        <v>-971</v>
      </c>
      <c r="U34" s="17">
        <v>0</v>
      </c>
      <c r="V34" s="17">
        <v>0</v>
      </c>
      <c r="W34" s="17">
        <v>0</v>
      </c>
      <c r="X34" s="17">
        <v>0</v>
      </c>
      <c r="Y34" s="17">
        <v>0</v>
      </c>
      <c r="Z34" s="17">
        <v>42029</v>
      </c>
      <c r="AA34" s="17" t="s"/>
      <c r="AB34" s="17">
        <v>0</v>
      </c>
      <c r="AC34" s="17">
        <v>0</v>
      </c>
      <c r="AD34" s="17" t="s">
        <v>76</v>
      </c>
      <c r="AE34" s="17" t="s">
        <v>152</v>
      </c>
      <c r="AF34" s="17" t="s"/>
      <c r="AG34" s="17">
        <v>0</v>
      </c>
      <c r="AH34" s="17">
        <v>0</v>
      </c>
      <c r="AI34" s="17">
        <v>0</v>
      </c>
    </row>
    <row r="35">
      <c r="A35" s="17">
        <v>29</v>
      </c>
      <c r="B35" s="17" t="s">
        <v>153</v>
      </c>
      <c r="C35" s="17" t="s"/>
      <c r="D35" s="17" t="s">
        <v>154</v>
      </c>
      <c r="E35" s="17" t="s">
        <v>124</v>
      </c>
      <c r="F35" s="17" t="s">
        <v>155</v>
      </c>
      <c r="G35" s="17" t="s">
        <v>151</v>
      </c>
      <c r="H35" s="17">
        <v>15000</v>
      </c>
      <c r="I35" s="17">
        <v>0</v>
      </c>
      <c r="J35" s="17">
        <v>0</v>
      </c>
      <c r="K35" s="17">
        <v>0</v>
      </c>
      <c r="L35" s="17">
        <v>0</v>
      </c>
      <c r="M35" s="17">
        <v>0</v>
      </c>
      <c r="N35" s="17">
        <v>10500</v>
      </c>
      <c r="O35" s="17">
        <v>0</v>
      </c>
      <c r="P35" s="17">
        <v>0</v>
      </c>
      <c r="Q35" s="17">
        <v>-10500</v>
      </c>
      <c r="R35" s="17">
        <v>0</v>
      </c>
      <c r="S35" s="17">
        <v>0</v>
      </c>
      <c r="T35" s="17">
        <v>-375</v>
      </c>
      <c r="U35" s="17">
        <v>0</v>
      </c>
      <c r="V35" s="17">
        <v>0</v>
      </c>
      <c r="W35" s="17">
        <v>0</v>
      </c>
      <c r="X35" s="17">
        <v>0</v>
      </c>
      <c r="Y35" s="17">
        <v>0</v>
      </c>
      <c r="Z35" s="17">
        <v>14625</v>
      </c>
      <c r="AA35" s="17" t="s"/>
      <c r="AB35" s="17">
        <v>0</v>
      </c>
      <c r="AC35" s="17">
        <v>0</v>
      </c>
      <c r="AD35" s="17" t="s">
        <v>82</v>
      </c>
      <c r="AE35" s="17" t="s">
        <v>83</v>
      </c>
      <c r="AF35" s="17" t="s"/>
      <c r="AG35" s="17">
        <v>0</v>
      </c>
      <c r="AH35" s="17">
        <v>0</v>
      </c>
      <c r="AI35" s="17">
        <v>0</v>
      </c>
    </row>
    <row r="36">
      <c r="A36" s="17">
        <v>30</v>
      </c>
      <c r="B36" s="17" t="s">
        <v>156</v>
      </c>
      <c r="C36" s="17" t="s"/>
      <c r="D36" s="17" t="s">
        <v>157</v>
      </c>
      <c r="E36" s="17" t="s">
        <v>115</v>
      </c>
      <c r="F36" s="17" t="s">
        <v>74</v>
      </c>
      <c r="G36" s="17" t="s">
        <v>151</v>
      </c>
      <c r="H36" s="17">
        <v>15000</v>
      </c>
      <c r="I36" s="17">
        <v>0</v>
      </c>
      <c r="J36" s="17">
        <v>0</v>
      </c>
      <c r="K36" s="17">
        <v>0</v>
      </c>
      <c r="L36" s="17">
        <v>0</v>
      </c>
      <c r="M36" s="17">
        <v>0</v>
      </c>
      <c r="N36" s="17">
        <v>16000</v>
      </c>
      <c r="O36" s="17">
        <v>0</v>
      </c>
      <c r="P36" s="17">
        <v>0</v>
      </c>
      <c r="Q36" s="17">
        <v>-16000</v>
      </c>
      <c r="R36" s="17">
        <v>0</v>
      </c>
      <c r="S36" s="17">
        <v>0</v>
      </c>
      <c r="T36" s="17">
        <v>-375</v>
      </c>
      <c r="U36" s="17">
        <v>0</v>
      </c>
      <c r="V36" s="17">
        <v>0</v>
      </c>
      <c r="W36" s="17">
        <v>0</v>
      </c>
      <c r="X36" s="17">
        <v>0</v>
      </c>
      <c r="Y36" s="17">
        <v>0</v>
      </c>
      <c r="Z36" s="17">
        <v>14625</v>
      </c>
      <c r="AA36" s="17" t="s"/>
      <c r="AB36" s="17">
        <v>0</v>
      </c>
      <c r="AC36" s="17">
        <v>0</v>
      </c>
      <c r="AD36" s="17" t="s">
        <v>82</v>
      </c>
      <c r="AE36" s="17" t="s">
        <v>98</v>
      </c>
      <c r="AF36" s="17" t="s"/>
      <c r="AG36" s="17">
        <v>0</v>
      </c>
      <c r="AH36" s="17">
        <v>0</v>
      </c>
      <c r="AI36" s="17">
        <v>0</v>
      </c>
    </row>
    <row r="37">
      <c r="A37" s="17">
        <v>31</v>
      </c>
      <c r="B37" s="17" t="s">
        <v>158</v>
      </c>
      <c r="C37" s="17" t="s"/>
      <c r="D37" s="17" t="s">
        <v>159</v>
      </c>
      <c r="E37" s="17" t="s">
        <v>160</v>
      </c>
      <c r="F37" s="17" t="s">
        <v>91</v>
      </c>
      <c r="G37" s="17" t="s">
        <v>161</v>
      </c>
      <c r="H37" s="17">
        <v>1300000</v>
      </c>
      <c r="I37" s="17">
        <v>-150000</v>
      </c>
      <c r="J37" s="17">
        <v>0</v>
      </c>
      <c r="K37" s="17">
        <v>0</v>
      </c>
      <c r="L37" s="17">
        <v>0</v>
      </c>
      <c r="M37" s="17">
        <v>0</v>
      </c>
      <c r="N37" s="17">
        <v>0</v>
      </c>
      <c r="O37" s="17">
        <v>0</v>
      </c>
      <c r="P37" s="17">
        <v>90000</v>
      </c>
      <c r="Q37" s="17">
        <v>-90000</v>
      </c>
      <c r="R37" s="17">
        <v>0</v>
      </c>
      <c r="S37" s="17">
        <v>0</v>
      </c>
      <c r="T37" s="17">
        <v>0</v>
      </c>
      <c r="U37" s="17">
        <v>0</v>
      </c>
      <c r="V37" s="17">
        <v>0</v>
      </c>
      <c r="W37" s="17">
        <v>0</v>
      </c>
      <c r="X37" s="17">
        <v>0</v>
      </c>
      <c r="Y37" s="17">
        <v>0</v>
      </c>
      <c r="Z37" s="17">
        <v>1150000</v>
      </c>
      <c r="AA37" s="17" t="s"/>
      <c r="AB37" s="17">
        <v>0</v>
      </c>
      <c r="AC37" s="17">
        <v>0</v>
      </c>
      <c r="AD37" s="17" t="s">
        <v>65</v>
      </c>
      <c r="AE37" s="17" t="s">
        <v>66</v>
      </c>
      <c r="AF37" s="17" t="s"/>
      <c r="AG37" s="17">
        <v>0</v>
      </c>
      <c r="AH37" s="17">
        <v>0</v>
      </c>
      <c r="AI37" s="17">
        <v>0</v>
      </c>
    </row>
    <row r="38">
      <c r="A38" s="17">
        <v>32</v>
      </c>
      <c r="B38" s="17" t="s">
        <v>162</v>
      </c>
      <c r="C38" s="17" t="s"/>
      <c r="D38" s="17" t="s">
        <v>163</v>
      </c>
      <c r="E38" s="17" t="s">
        <v>115</v>
      </c>
      <c r="F38" s="17" t="s">
        <v>74</v>
      </c>
      <c r="G38" s="17" t="s">
        <v>161</v>
      </c>
      <c r="H38" s="17">
        <v>15000</v>
      </c>
      <c r="I38" s="17">
        <v>0</v>
      </c>
      <c r="J38" s="17">
        <v>0</v>
      </c>
      <c r="K38" s="17">
        <v>0</v>
      </c>
      <c r="L38" s="17">
        <v>0</v>
      </c>
      <c r="M38" s="17">
        <v>0</v>
      </c>
      <c r="N38" s="17">
        <v>11000</v>
      </c>
      <c r="O38" s="17">
        <v>0</v>
      </c>
      <c r="P38" s="17">
        <v>10000</v>
      </c>
      <c r="Q38" s="17">
        <v>-21000</v>
      </c>
      <c r="R38" s="17">
        <v>0</v>
      </c>
      <c r="S38" s="17">
        <v>0</v>
      </c>
      <c r="T38" s="17">
        <v>-375</v>
      </c>
      <c r="U38" s="17">
        <v>0</v>
      </c>
      <c r="V38" s="17">
        <v>0</v>
      </c>
      <c r="W38" s="17">
        <v>0</v>
      </c>
      <c r="X38" s="17">
        <v>0</v>
      </c>
      <c r="Y38" s="17">
        <v>0</v>
      </c>
      <c r="Z38" s="17">
        <v>14625</v>
      </c>
      <c r="AA38" s="17" t="s"/>
      <c r="AB38" s="17">
        <v>0</v>
      </c>
      <c r="AC38" s="17">
        <v>0</v>
      </c>
      <c r="AD38" s="17" t="s">
        <v>82</v>
      </c>
      <c r="AE38" s="17" t="s">
        <v>98</v>
      </c>
      <c r="AF38" s="17" t="s"/>
      <c r="AG38" s="17">
        <v>0</v>
      </c>
      <c r="AH38" s="17">
        <v>0</v>
      </c>
      <c r="AI38" s="17">
        <v>0</v>
      </c>
    </row>
    <row r="39">
      <c r="A39" s="17">
        <v>33</v>
      </c>
      <c r="B39" s="17" t="s">
        <v>164</v>
      </c>
      <c r="C39" s="17" t="s"/>
      <c r="D39" s="17" t="s">
        <v>165</v>
      </c>
      <c r="E39" s="17" t="s">
        <v>121</v>
      </c>
      <c r="F39" s="17" t="s">
        <v>91</v>
      </c>
      <c r="G39" s="17" t="s">
        <v>161</v>
      </c>
      <c r="H39" s="17">
        <v>15000</v>
      </c>
      <c r="I39" s="17">
        <v>0</v>
      </c>
      <c r="J39" s="17">
        <v>0</v>
      </c>
      <c r="K39" s="17">
        <v>0</v>
      </c>
      <c r="L39" s="17">
        <v>0</v>
      </c>
      <c r="M39" s="17">
        <v>0</v>
      </c>
      <c r="N39" s="17">
        <v>19000</v>
      </c>
      <c r="O39" s="17">
        <v>0</v>
      </c>
      <c r="P39" s="17">
        <v>0</v>
      </c>
      <c r="Q39" s="17">
        <v>-19000</v>
      </c>
      <c r="R39" s="17">
        <v>0</v>
      </c>
      <c r="S39" s="17">
        <v>0</v>
      </c>
      <c r="T39" s="17">
        <v>-375</v>
      </c>
      <c r="U39" s="17">
        <v>0</v>
      </c>
      <c r="V39" s="17">
        <v>0</v>
      </c>
      <c r="W39" s="17">
        <v>0</v>
      </c>
      <c r="X39" s="17">
        <v>0</v>
      </c>
      <c r="Y39" s="17">
        <v>0</v>
      </c>
      <c r="Z39" s="17">
        <v>14625</v>
      </c>
      <c r="AA39" s="17" t="s"/>
      <c r="AB39" s="17">
        <v>0</v>
      </c>
      <c r="AC39" s="17">
        <v>0</v>
      </c>
      <c r="AD39" s="17" t="s">
        <v>82</v>
      </c>
      <c r="AE39" s="17" t="s">
        <v>83</v>
      </c>
      <c r="AF39" s="17" t="s"/>
      <c r="AG39" s="17">
        <v>0</v>
      </c>
      <c r="AH39" s="17">
        <v>0</v>
      </c>
      <c r="AI39" s="17">
        <v>0</v>
      </c>
    </row>
    <row r="40">
      <c r="A40" s="17">
        <v>34</v>
      </c>
      <c r="B40" s="17" t="s">
        <v>166</v>
      </c>
      <c r="C40" s="17" t="s"/>
      <c r="D40" s="17" t="s">
        <v>167</v>
      </c>
      <c r="E40" s="17" t="s">
        <v>121</v>
      </c>
      <c r="F40" s="17" t="s">
        <v>56</v>
      </c>
      <c r="G40" s="17" t="s">
        <v>161</v>
      </c>
      <c r="H40" s="17">
        <v>15000</v>
      </c>
      <c r="I40" s="17">
        <v>0</v>
      </c>
      <c r="J40" s="17">
        <v>0</v>
      </c>
      <c r="K40" s="17">
        <v>0</v>
      </c>
      <c r="L40" s="17">
        <v>0</v>
      </c>
      <c r="M40" s="17">
        <v>0</v>
      </c>
      <c r="N40" s="17">
        <v>14000</v>
      </c>
      <c r="O40" s="17">
        <v>0</v>
      </c>
      <c r="P40" s="17">
        <v>5000</v>
      </c>
      <c r="Q40" s="17">
        <v>-19000</v>
      </c>
      <c r="R40" s="17">
        <v>0</v>
      </c>
      <c r="S40" s="17">
        <v>0</v>
      </c>
      <c r="T40" s="17">
        <v>-375</v>
      </c>
      <c r="U40" s="17">
        <v>0</v>
      </c>
      <c r="V40" s="17">
        <v>0</v>
      </c>
      <c r="W40" s="17">
        <v>0</v>
      </c>
      <c r="X40" s="17">
        <v>0</v>
      </c>
      <c r="Y40" s="17">
        <v>0</v>
      </c>
      <c r="Z40" s="17">
        <v>14625</v>
      </c>
      <c r="AA40" s="17" t="s"/>
      <c r="AB40" s="17">
        <v>0</v>
      </c>
      <c r="AC40" s="17">
        <v>0</v>
      </c>
      <c r="AD40" s="17" t="s">
        <v>82</v>
      </c>
      <c r="AE40" s="17" t="s">
        <v>83</v>
      </c>
      <c r="AF40" s="17" t="s"/>
      <c r="AG40" s="17">
        <v>0</v>
      </c>
      <c r="AH40" s="17">
        <v>0</v>
      </c>
      <c r="AI40" s="17">
        <v>0</v>
      </c>
    </row>
    <row r="41">
      <c r="A41" s="17">
        <v>35</v>
      </c>
      <c r="B41" s="17" t="s">
        <v>168</v>
      </c>
      <c r="C41" s="17" t="s"/>
      <c r="D41" s="17" t="s">
        <v>169</v>
      </c>
      <c r="E41" s="17" t="s">
        <v>124</v>
      </c>
      <c r="F41" s="17" t="s">
        <v>74</v>
      </c>
      <c r="G41" s="17" t="s">
        <v>170</v>
      </c>
      <c r="H41" s="17">
        <v>15000</v>
      </c>
      <c r="I41" s="17">
        <v>0</v>
      </c>
      <c r="J41" s="17">
        <v>0</v>
      </c>
      <c r="K41" s="17">
        <v>0</v>
      </c>
      <c r="L41" s="17">
        <v>0</v>
      </c>
      <c r="M41" s="17">
        <v>0</v>
      </c>
      <c r="N41" s="17">
        <v>16000</v>
      </c>
      <c r="O41" s="17">
        <v>0</v>
      </c>
      <c r="P41" s="17">
        <v>0</v>
      </c>
      <c r="Q41" s="17">
        <v>-16000</v>
      </c>
      <c r="R41" s="17">
        <v>0</v>
      </c>
      <c r="S41" s="17">
        <v>0</v>
      </c>
      <c r="T41" s="17">
        <v>-375</v>
      </c>
      <c r="U41" s="17">
        <v>0</v>
      </c>
      <c r="V41" s="17">
        <v>0</v>
      </c>
      <c r="W41" s="17">
        <v>0</v>
      </c>
      <c r="X41" s="17">
        <v>0</v>
      </c>
      <c r="Y41" s="17">
        <v>0</v>
      </c>
      <c r="Z41" s="17">
        <v>14625</v>
      </c>
      <c r="AA41" s="17" t="s"/>
      <c r="AB41" s="17">
        <v>0</v>
      </c>
      <c r="AC41" s="17">
        <v>0</v>
      </c>
      <c r="AD41" s="17" t="s">
        <v>82</v>
      </c>
      <c r="AE41" s="17" t="s">
        <v>98</v>
      </c>
      <c r="AF41" s="17" t="s"/>
      <c r="AG41" s="17">
        <v>0</v>
      </c>
      <c r="AH41" s="17">
        <v>0</v>
      </c>
      <c r="AI41" s="17">
        <v>0</v>
      </c>
    </row>
    <row r="42">
      <c r="A42" s="17">
        <v>36</v>
      </c>
      <c r="B42" s="17" t="s">
        <v>171</v>
      </c>
      <c r="C42" s="17" t="s"/>
      <c r="D42" s="17" t="s">
        <v>172</v>
      </c>
      <c r="E42" s="17" t="s">
        <v>148</v>
      </c>
      <c r="F42" s="17" t="s">
        <v>74</v>
      </c>
      <c r="G42" s="17" t="s">
        <v>173</v>
      </c>
      <c r="H42" s="17">
        <v>4800</v>
      </c>
      <c r="I42" s="17">
        <v>0</v>
      </c>
      <c r="J42" s="17">
        <v>0</v>
      </c>
      <c r="K42" s="17">
        <v>0</v>
      </c>
      <c r="L42" s="17">
        <v>0</v>
      </c>
      <c r="M42" s="17">
        <v>0</v>
      </c>
      <c r="N42" s="17">
        <v>8000</v>
      </c>
      <c r="O42" s="17">
        <v>0</v>
      </c>
      <c r="P42" s="17">
        <v>0</v>
      </c>
      <c r="Q42" s="17">
        <v>-8000</v>
      </c>
      <c r="R42" s="17">
        <v>0</v>
      </c>
      <c r="S42" s="17">
        <v>0</v>
      </c>
      <c r="T42" s="17">
        <v>-120</v>
      </c>
      <c r="U42" s="17">
        <v>0</v>
      </c>
      <c r="V42" s="17">
        <v>0</v>
      </c>
      <c r="W42" s="17">
        <v>0</v>
      </c>
      <c r="X42" s="17">
        <v>0</v>
      </c>
      <c r="Y42" s="17">
        <v>0</v>
      </c>
      <c r="Z42" s="17">
        <v>4680</v>
      </c>
      <c r="AA42" s="17" t="s"/>
      <c r="AB42" s="17">
        <v>0</v>
      </c>
      <c r="AC42" s="17">
        <v>0</v>
      </c>
      <c r="AD42" s="17" t="s">
        <v>82</v>
      </c>
      <c r="AE42" s="17" t="s">
        <v>83</v>
      </c>
      <c r="AF42" s="17" t="s"/>
      <c r="AG42" s="17">
        <v>0</v>
      </c>
      <c r="AH42" s="17">
        <v>0</v>
      </c>
      <c r="AI42" s="17">
        <v>0</v>
      </c>
    </row>
    <row r="43">
      <c r="A43" s="17">
        <v>37</v>
      </c>
      <c r="B43" s="17" t="s">
        <v>174</v>
      </c>
      <c r="C43" s="17" t="s"/>
      <c r="D43" s="17" t="s">
        <v>175</v>
      </c>
      <c r="E43" s="17" t="s">
        <v>173</v>
      </c>
      <c r="F43" s="17" t="s">
        <v>56</v>
      </c>
      <c r="G43" s="17" t="s">
        <v>176</v>
      </c>
      <c r="H43" s="17">
        <v>31000</v>
      </c>
      <c r="I43" s="17">
        <v>0</v>
      </c>
      <c r="J43" s="17">
        <v>0</v>
      </c>
      <c r="K43" s="17">
        <v>0</v>
      </c>
      <c r="L43" s="17">
        <v>0</v>
      </c>
      <c r="M43" s="17">
        <v>0</v>
      </c>
      <c r="N43" s="17">
        <v>9000</v>
      </c>
      <c r="O43" s="17">
        <v>0</v>
      </c>
      <c r="P43" s="17">
        <v>0</v>
      </c>
      <c r="Q43" s="17">
        <v>-9000</v>
      </c>
      <c r="R43" s="17">
        <v>0</v>
      </c>
      <c r="S43" s="17">
        <v>0</v>
      </c>
      <c r="T43" s="17">
        <v>-901</v>
      </c>
      <c r="U43" s="17">
        <v>0</v>
      </c>
      <c r="V43" s="17">
        <v>0</v>
      </c>
      <c r="W43" s="17">
        <v>0</v>
      </c>
      <c r="X43" s="17">
        <v>0</v>
      </c>
      <c r="Y43" s="17">
        <v>0</v>
      </c>
      <c r="Z43" s="17">
        <v>30099</v>
      </c>
      <c r="AA43" s="17" t="s"/>
      <c r="AB43" s="17">
        <v>0</v>
      </c>
      <c r="AC43" s="17">
        <v>0</v>
      </c>
      <c r="AD43" s="17" t="s">
        <v>76</v>
      </c>
      <c r="AE43" s="17" t="s">
        <v>93</v>
      </c>
      <c r="AF43" s="17" t="s"/>
      <c r="AG43" s="17">
        <v>0</v>
      </c>
      <c r="AH43" s="17">
        <v>0</v>
      </c>
      <c r="AI43" s="17">
        <v>0</v>
      </c>
    </row>
    <row r="44">
      <c r="A44" s="17">
        <v>38</v>
      </c>
      <c r="B44" s="17" t="s">
        <v>177</v>
      </c>
      <c r="C44" s="17" t="s"/>
      <c r="D44" s="17" t="s">
        <v>178</v>
      </c>
      <c r="E44" s="17" t="s">
        <v>173</v>
      </c>
      <c r="F44" s="17" t="s">
        <v>74</v>
      </c>
      <c r="G44" s="17" t="s">
        <v>179</v>
      </c>
      <c r="H44" s="17">
        <v>15000</v>
      </c>
      <c r="I44" s="17">
        <v>0</v>
      </c>
      <c r="J44" s="17">
        <v>0</v>
      </c>
      <c r="K44" s="17">
        <v>0</v>
      </c>
      <c r="L44" s="17">
        <v>0</v>
      </c>
      <c r="M44" s="17">
        <v>0</v>
      </c>
      <c r="N44" s="17">
        <v>9000</v>
      </c>
      <c r="O44" s="17">
        <v>0</v>
      </c>
      <c r="P44" s="17">
        <v>0</v>
      </c>
      <c r="Q44" s="17">
        <v>-9000</v>
      </c>
      <c r="R44" s="17">
        <v>0</v>
      </c>
      <c r="S44" s="17">
        <v>0</v>
      </c>
      <c r="T44" s="17">
        <v>-480</v>
      </c>
      <c r="U44" s="17">
        <v>0</v>
      </c>
      <c r="V44" s="17">
        <v>0</v>
      </c>
      <c r="W44" s="17">
        <v>0</v>
      </c>
      <c r="X44" s="17">
        <v>0</v>
      </c>
      <c r="Y44" s="17">
        <v>0</v>
      </c>
      <c r="Z44" s="17">
        <v>14520</v>
      </c>
      <c r="AA44" s="17" t="s"/>
      <c r="AB44" s="17">
        <v>0</v>
      </c>
      <c r="AC44" s="17">
        <v>0</v>
      </c>
      <c r="AD44" s="17" t="s">
        <v>76</v>
      </c>
      <c r="AE44" s="17" t="s">
        <v>77</v>
      </c>
      <c r="AF44" s="17" t="s"/>
      <c r="AG44" s="17">
        <v>0</v>
      </c>
      <c r="AH44" s="17">
        <v>0</v>
      </c>
      <c r="AI44" s="17">
        <v>0</v>
      </c>
    </row>
    <row r="45">
      <c r="A45" s="17">
        <v>39</v>
      </c>
      <c r="B45" s="17" t="s">
        <v>180</v>
      </c>
      <c r="C45" s="17" t="s"/>
      <c r="D45" s="17" t="s">
        <v>181</v>
      </c>
      <c r="E45" s="17" t="s">
        <v>182</v>
      </c>
      <c r="F45" s="17" t="s">
        <v>56</v>
      </c>
      <c r="G45" s="17" t="s">
        <v>183</v>
      </c>
      <c r="H45" s="17">
        <v>30000</v>
      </c>
      <c r="I45" s="17">
        <v>0</v>
      </c>
      <c r="J45" s="17">
        <v>0</v>
      </c>
      <c r="K45" s="17">
        <v>0</v>
      </c>
      <c r="L45" s="17">
        <v>0</v>
      </c>
      <c r="M45" s="17">
        <v>0</v>
      </c>
      <c r="N45" s="17">
        <v>8000</v>
      </c>
      <c r="O45" s="17">
        <v>0</v>
      </c>
      <c r="P45" s="17">
        <v>10000</v>
      </c>
      <c r="Q45" s="17">
        <v>-18000</v>
      </c>
      <c r="R45" s="17">
        <v>0</v>
      </c>
      <c r="S45" s="17">
        <v>0</v>
      </c>
      <c r="T45" s="17">
        <v>-960</v>
      </c>
      <c r="U45" s="17">
        <v>0</v>
      </c>
      <c r="V45" s="17">
        <v>0</v>
      </c>
      <c r="W45" s="17">
        <v>0</v>
      </c>
      <c r="X45" s="17">
        <v>0</v>
      </c>
      <c r="Y45" s="17">
        <v>0</v>
      </c>
      <c r="Z45" s="17">
        <v>29040</v>
      </c>
      <c r="AA45" s="17" t="s"/>
      <c r="AB45" s="17">
        <v>0</v>
      </c>
      <c r="AC45" s="17">
        <v>0</v>
      </c>
      <c r="AD45" s="17" t="s">
        <v>76</v>
      </c>
      <c r="AE45" s="17" t="s">
        <v>93</v>
      </c>
      <c r="AF45" s="17" t="s"/>
      <c r="AG45" s="17">
        <v>0</v>
      </c>
      <c r="AH45" s="17">
        <v>0</v>
      </c>
      <c r="AI45" s="17">
        <v>0</v>
      </c>
    </row>
    <row r="46">
      <c r="A46" s="17">
        <v>40</v>
      </c>
      <c r="B46" s="17" t="s">
        <v>184</v>
      </c>
      <c r="C46" s="17" t="s"/>
      <c r="D46" s="17" t="s">
        <v>185</v>
      </c>
      <c r="E46" s="17" t="s">
        <v>179</v>
      </c>
      <c r="F46" s="17" t="s">
        <v>74</v>
      </c>
      <c r="G46" s="17" t="s">
        <v>186</v>
      </c>
      <c r="H46" s="17">
        <v>65000</v>
      </c>
      <c r="I46" s="17">
        <v>-2500</v>
      </c>
      <c r="J46" s="17">
        <v>0</v>
      </c>
      <c r="K46" s="17">
        <v>0</v>
      </c>
      <c r="L46" s="17">
        <v>0</v>
      </c>
      <c r="M46" s="17">
        <v>0</v>
      </c>
      <c r="N46" s="17">
        <v>7000</v>
      </c>
      <c r="O46" s="17">
        <v>0</v>
      </c>
      <c r="P46" s="17">
        <v>20000</v>
      </c>
      <c r="Q46" s="17">
        <v>-27000</v>
      </c>
      <c r="R46" s="17">
        <v>0</v>
      </c>
      <c r="S46" s="17">
        <v>0</v>
      </c>
      <c r="T46" s="17">
        <v>-2000</v>
      </c>
      <c r="U46" s="17">
        <v>0</v>
      </c>
      <c r="V46" s="17">
        <v>0</v>
      </c>
      <c r="W46" s="17">
        <v>0</v>
      </c>
      <c r="X46" s="17">
        <v>0</v>
      </c>
      <c r="Y46" s="17">
        <v>0</v>
      </c>
      <c r="Z46" s="17">
        <v>60500</v>
      </c>
      <c r="AA46" s="17" t="s"/>
      <c r="AB46" s="17">
        <v>0</v>
      </c>
      <c r="AC46" s="17">
        <v>0</v>
      </c>
      <c r="AD46" s="17" t="s">
        <v>76</v>
      </c>
      <c r="AE46" s="17" t="s">
        <v>77</v>
      </c>
      <c r="AF46" s="17" t="s"/>
      <c r="AG46" s="17">
        <v>0</v>
      </c>
      <c r="AH46" s="17">
        <v>0</v>
      </c>
      <c r="AI46" s="17">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D42"/>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s>
  <sheetData>
    <row r="1">
      <c r="A1" s="13" t="s"/>
      <c r="B1" s="13" t="s"/>
      <c r="C1" s="18" t="s">
        <v>30</v>
      </c>
      <c r="D1" s="18" t="s"/>
    </row>
    <row r="2">
      <c r="A2" s="13" t="s">
        <v>38</v>
      </c>
      <c r="B2" s="13" t="s">
        <v>39</v>
      </c>
      <c r="C2" s="13" t="s">
        <v>187</v>
      </c>
      <c r="D2" s="13" t="s">
        <v>30</v>
      </c>
    </row>
    <row r="3">
      <c r="A3" s="13">
        <v>1</v>
      </c>
      <c r="B3" s="13" t="s">
        <v>53</v>
      </c>
      <c r="C3" s="13">
        <v>0</v>
      </c>
      <c r="D3" s="13">
        <v>0</v>
      </c>
    </row>
    <row r="4">
      <c r="A4" s="13">
        <v>2</v>
      </c>
      <c r="B4" s="13" t="s">
        <v>59</v>
      </c>
      <c r="C4" s="13">
        <v>0</v>
      </c>
      <c r="D4" s="13">
        <v>0</v>
      </c>
    </row>
    <row r="5">
      <c r="A5" s="13">
        <v>3</v>
      </c>
      <c r="B5" s="13" t="s">
        <v>62</v>
      </c>
      <c r="C5" s="13">
        <v>0</v>
      </c>
      <c r="D5" s="13">
        <v>0</v>
      </c>
    </row>
    <row r="6">
      <c r="A6" s="13">
        <v>4</v>
      </c>
      <c r="B6" s="13" t="s">
        <v>67</v>
      </c>
      <c r="C6" s="13">
        <v>0</v>
      </c>
      <c r="D6" s="13">
        <v>0</v>
      </c>
    </row>
    <row r="7">
      <c r="A7" s="13">
        <v>5</v>
      </c>
      <c r="B7" s="13" t="s">
        <v>71</v>
      </c>
      <c r="C7" s="13">
        <v>0</v>
      </c>
      <c r="D7" s="13">
        <v>0</v>
      </c>
    </row>
    <row r="8">
      <c r="A8" s="13">
        <v>6</v>
      </c>
      <c r="B8" s="13" t="s">
        <v>78</v>
      </c>
      <c r="C8" s="13">
        <v>0</v>
      </c>
      <c r="D8" s="13">
        <v>0</v>
      </c>
    </row>
    <row r="9">
      <c r="A9" s="13">
        <v>7</v>
      </c>
      <c r="B9" s="13" t="s">
        <v>84</v>
      </c>
      <c r="C9" s="13">
        <v>0</v>
      </c>
      <c r="D9" s="13">
        <v>0</v>
      </c>
    </row>
    <row r="10">
      <c r="A10" s="13">
        <v>8</v>
      </c>
      <c r="B10" s="13" t="s">
        <v>88</v>
      </c>
      <c r="C10" s="13">
        <v>0</v>
      </c>
      <c r="D10" s="13">
        <v>0</v>
      </c>
    </row>
    <row r="11">
      <c r="A11" s="13">
        <v>9</v>
      </c>
      <c r="B11" s="13" t="s">
        <v>94</v>
      </c>
      <c r="C11" s="13">
        <v>0</v>
      </c>
      <c r="D11" s="13">
        <v>0</v>
      </c>
    </row>
    <row r="12">
      <c r="A12" s="13">
        <v>10</v>
      </c>
      <c r="B12" s="13" t="s">
        <v>99</v>
      </c>
      <c r="C12" s="13">
        <v>0</v>
      </c>
      <c r="D12" s="13">
        <v>0</v>
      </c>
    </row>
    <row r="13">
      <c r="A13" s="13">
        <v>11</v>
      </c>
      <c r="B13" s="13" t="s">
        <v>102</v>
      </c>
      <c r="C13" s="13">
        <v>0</v>
      </c>
      <c r="D13" s="13">
        <v>0</v>
      </c>
    </row>
    <row r="14">
      <c r="A14" s="13">
        <v>12</v>
      </c>
      <c r="B14" s="13" t="s">
        <v>106</v>
      </c>
      <c r="C14" s="13">
        <v>0</v>
      </c>
      <c r="D14" s="13">
        <v>0</v>
      </c>
    </row>
    <row r="15">
      <c r="A15" s="13">
        <v>13</v>
      </c>
      <c r="B15" s="13" t="s">
        <v>109</v>
      </c>
      <c r="C15" s="13">
        <v>0</v>
      </c>
      <c r="D15" s="13">
        <v>0</v>
      </c>
    </row>
    <row r="16">
      <c r="A16" s="13">
        <v>14</v>
      </c>
      <c r="B16" s="13" t="s">
        <v>112</v>
      </c>
      <c r="C16" s="13">
        <v>0</v>
      </c>
      <c r="D16" s="13">
        <v>0</v>
      </c>
    </row>
    <row r="17">
      <c r="A17" s="13">
        <v>15</v>
      </c>
      <c r="B17" s="13" t="s">
        <v>117</v>
      </c>
      <c r="C17" s="13">
        <v>0</v>
      </c>
      <c r="D17" s="13">
        <v>0</v>
      </c>
    </row>
    <row r="18">
      <c r="A18" s="13">
        <v>16</v>
      </c>
      <c r="B18" s="13" t="s">
        <v>119</v>
      </c>
      <c r="C18" s="13">
        <v>0</v>
      </c>
      <c r="D18" s="13">
        <v>0</v>
      </c>
    </row>
    <row r="19">
      <c r="A19" s="13">
        <v>17</v>
      </c>
      <c r="B19" s="13" t="s">
        <v>122</v>
      </c>
      <c r="C19" s="13">
        <v>0</v>
      </c>
      <c r="D19" s="13">
        <v>0</v>
      </c>
    </row>
    <row r="20">
      <c r="A20" s="13">
        <v>18</v>
      </c>
      <c r="B20" s="13" t="s">
        <v>125</v>
      </c>
      <c r="C20" s="13">
        <v>0</v>
      </c>
      <c r="D20" s="13">
        <v>0</v>
      </c>
    </row>
    <row r="21">
      <c r="A21" s="13">
        <v>19</v>
      </c>
      <c r="B21" s="13" t="s">
        <v>128</v>
      </c>
      <c r="C21" s="13">
        <v>0</v>
      </c>
      <c r="D21" s="13">
        <v>0</v>
      </c>
    </row>
    <row r="22">
      <c r="A22" s="13">
        <v>20</v>
      </c>
      <c r="B22" s="13" t="s">
        <v>130</v>
      </c>
      <c r="C22" s="13">
        <v>0</v>
      </c>
      <c r="D22" s="13">
        <v>0</v>
      </c>
    </row>
    <row r="23">
      <c r="A23" s="13">
        <v>21</v>
      </c>
      <c r="B23" s="13" t="s">
        <v>132</v>
      </c>
      <c r="C23" s="13">
        <v>0</v>
      </c>
      <c r="D23" s="13">
        <v>0</v>
      </c>
    </row>
    <row r="24">
      <c r="A24" s="13">
        <v>22</v>
      </c>
      <c r="B24" s="13" t="s">
        <v>134</v>
      </c>
      <c r="C24" s="13">
        <v>0</v>
      </c>
      <c r="D24" s="13">
        <v>0</v>
      </c>
    </row>
    <row r="25">
      <c r="A25" s="13">
        <v>23</v>
      </c>
      <c r="B25" s="13" t="s">
        <v>137</v>
      </c>
      <c r="C25" s="13">
        <v>0</v>
      </c>
      <c r="D25" s="13">
        <v>0</v>
      </c>
    </row>
    <row r="26">
      <c r="A26" s="13">
        <v>24</v>
      </c>
      <c r="B26" s="13" t="s">
        <v>139</v>
      </c>
      <c r="C26" s="13">
        <v>0</v>
      </c>
      <c r="D26" s="13">
        <v>0</v>
      </c>
    </row>
    <row r="27">
      <c r="A27" s="13">
        <v>25</v>
      </c>
      <c r="B27" s="13" t="s">
        <v>141</v>
      </c>
      <c r="C27" s="13">
        <v>0</v>
      </c>
      <c r="D27" s="13">
        <v>0</v>
      </c>
    </row>
    <row r="28">
      <c r="A28" s="13">
        <v>26</v>
      </c>
      <c r="B28" s="13" t="s">
        <v>143</v>
      </c>
      <c r="C28" s="13">
        <v>0</v>
      </c>
      <c r="D28" s="13">
        <v>0</v>
      </c>
    </row>
    <row r="29">
      <c r="A29" s="13">
        <v>27</v>
      </c>
      <c r="B29" s="13" t="s">
        <v>146</v>
      </c>
      <c r="C29" s="13">
        <v>0</v>
      </c>
      <c r="D29" s="13">
        <v>0</v>
      </c>
    </row>
    <row r="30">
      <c r="A30" s="13">
        <v>28</v>
      </c>
      <c r="B30" s="13" t="s">
        <v>149</v>
      </c>
      <c r="C30" s="13">
        <v>0</v>
      </c>
      <c r="D30" s="13">
        <v>0</v>
      </c>
    </row>
    <row r="31">
      <c r="A31" s="13">
        <v>29</v>
      </c>
      <c r="B31" s="13" t="s">
        <v>153</v>
      </c>
      <c r="C31" s="13">
        <v>0</v>
      </c>
      <c r="D31" s="13">
        <v>0</v>
      </c>
    </row>
    <row r="32">
      <c r="A32" s="13">
        <v>30</v>
      </c>
      <c r="B32" s="13" t="s">
        <v>156</v>
      </c>
      <c r="C32" s="13">
        <v>0</v>
      </c>
      <c r="D32" s="13">
        <v>0</v>
      </c>
    </row>
    <row r="33">
      <c r="A33" s="13">
        <v>31</v>
      </c>
      <c r="B33" s="13" t="s">
        <v>158</v>
      </c>
      <c r="C33" s="13">
        <v>0</v>
      </c>
      <c r="D33" s="13">
        <v>0</v>
      </c>
    </row>
    <row r="34">
      <c r="A34" s="13">
        <v>32</v>
      </c>
      <c r="B34" s="13" t="s">
        <v>162</v>
      </c>
      <c r="C34" s="13">
        <v>0</v>
      </c>
      <c r="D34" s="13">
        <v>0</v>
      </c>
    </row>
    <row r="35">
      <c r="A35" s="13">
        <v>33</v>
      </c>
      <c r="B35" s="13" t="s">
        <v>164</v>
      </c>
      <c r="C35" s="13">
        <v>0</v>
      </c>
      <c r="D35" s="13">
        <v>0</v>
      </c>
    </row>
    <row r="36">
      <c r="A36" s="13">
        <v>34</v>
      </c>
      <c r="B36" s="13" t="s">
        <v>166</v>
      </c>
      <c r="C36" s="13">
        <v>0</v>
      </c>
      <c r="D36" s="13">
        <v>0</v>
      </c>
    </row>
    <row r="37">
      <c r="A37" s="13">
        <v>35</v>
      </c>
      <c r="B37" s="13" t="s">
        <v>168</v>
      </c>
      <c r="C37" s="13">
        <v>0</v>
      </c>
      <c r="D37" s="13">
        <v>0</v>
      </c>
    </row>
    <row r="38">
      <c r="A38" s="13">
        <v>36</v>
      </c>
      <c r="B38" s="13" t="s">
        <v>171</v>
      </c>
      <c r="C38" s="13">
        <v>0</v>
      </c>
      <c r="D38" s="13">
        <v>0</v>
      </c>
    </row>
    <row r="39">
      <c r="A39" s="13">
        <v>37</v>
      </c>
      <c r="B39" s="13" t="s">
        <v>174</v>
      </c>
      <c r="C39" s="13">
        <v>0</v>
      </c>
      <c r="D39" s="13">
        <v>0</v>
      </c>
    </row>
    <row r="40">
      <c r="A40" s="13">
        <v>38</v>
      </c>
      <c r="B40" s="13" t="s">
        <v>177</v>
      </c>
      <c r="C40" s="13">
        <v>0</v>
      </c>
      <c r="D40" s="13">
        <v>0</v>
      </c>
    </row>
    <row r="41">
      <c r="A41" s="13">
        <v>39</v>
      </c>
      <c r="B41" s="13" t="s">
        <v>180</v>
      </c>
      <c r="C41" s="13">
        <v>0</v>
      </c>
      <c r="D41" s="13">
        <v>0</v>
      </c>
    </row>
    <row r="42">
      <c r="A42" s="13">
        <v>40</v>
      </c>
      <c r="B42" s="13" t="s">
        <v>184</v>
      </c>
      <c r="C42" s="13">
        <v>0</v>
      </c>
      <c r="D42" s="13">
        <v>0</v>
      </c>
    </row>
  </sheetData>
  <mergeCells count="1">
    <mergeCell ref="C1:D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